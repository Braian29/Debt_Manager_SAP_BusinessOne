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Bolsón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Vendedor Bolsón</t>
        </is>
      </c>
      <c r="B5" s="4" t="n">
        <v>601745.84</v>
      </c>
      <c r="C5" s="4" t="n">
        <v>615762.12</v>
      </c>
      <c r="D5" s="4" t="n"/>
      <c r="E5" s="4" t="n">
        <v>218579.37</v>
      </c>
      <c r="F5" s="4" t="n">
        <v>1436087.33</v>
      </c>
    </row>
    <row r="6">
      <c r="A6" s="5" t="inlineStr">
        <is>
          <t>Total en %</t>
        </is>
      </c>
      <c r="B6" s="6" t="n">
        <v>0.4190175816118369</v>
      </c>
      <c r="C6" s="6" t="n">
        <v>0.4287776287254063</v>
      </c>
      <c r="D6" s="6" t="n">
        <v>0</v>
      </c>
      <c r="E6" s="6" t="n">
        <v>0.1522047896627568</v>
      </c>
      <c r="F6" s="6" t="n">
        <v>1</v>
      </c>
    </row>
    <row r="9">
      <c r="A9" s="7" t="inlineStr">
        <is>
          <t>1) Más de 90 días desde la venta (3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9" t="inlineStr">
        <is>
          <t>Jordan Shea Daniel</t>
        </is>
      </c>
      <c r="B11" s="9" t="inlineStr">
        <is>
          <t>22373</t>
        </is>
      </c>
      <c r="C11" s="9" t="inlineStr">
        <is>
          <t>0031-A-00033536</t>
        </is>
      </c>
      <c r="D11" s="10" t="n">
        <v>46014</v>
      </c>
      <c r="E11" s="10" t="n">
        <v>46059</v>
      </c>
      <c r="F11" s="9" t="n">
        <v>296</v>
      </c>
      <c r="G11" s="9" t="n">
        <v>251</v>
      </c>
      <c r="H11" s="11" t="n">
        <v>29049.16</v>
      </c>
    </row>
    <row r="12">
      <c r="A12" s="9" t="inlineStr">
        <is>
          <t>Jordan Shea Daniel</t>
        </is>
      </c>
      <c r="B12" s="9" t="inlineStr">
        <is>
          <t>22373</t>
        </is>
      </c>
      <c r="C12" s="9" t="inlineStr">
        <is>
          <t>9999-A-10002505</t>
        </is>
      </c>
      <c r="D12" s="10" t="n">
        <v>46028</v>
      </c>
      <c r="E12" s="10" t="n">
        <v>46073</v>
      </c>
      <c r="F12" s="9" t="n">
        <v>282</v>
      </c>
      <c r="G12" s="9" t="n">
        <v>237</v>
      </c>
      <c r="H12" s="11" t="n">
        <v>24273.09</v>
      </c>
    </row>
    <row r="13">
      <c r="A13" s="9" t="inlineStr">
        <is>
          <t>Jordan Shea Daniel</t>
        </is>
      </c>
      <c r="B13" s="9" t="inlineStr">
        <is>
          <t>22373</t>
        </is>
      </c>
      <c r="C13" s="9" t="inlineStr">
        <is>
          <t>9999-A-10002506</t>
        </is>
      </c>
      <c r="D13" s="10" t="n">
        <v>46028</v>
      </c>
      <c r="E13" s="10" t="n">
        <v>46073</v>
      </c>
      <c r="F13" s="9" t="n">
        <v>282</v>
      </c>
      <c r="G13" s="9" t="n">
        <v>237</v>
      </c>
      <c r="H13" s="11" t="n">
        <v>165257.12</v>
      </c>
    </row>
    <row r="14">
      <c r="A14" s="12" t="inlineStr">
        <is>
          <t>Total</t>
        </is>
      </c>
      <c r="B14" s="12" t="n"/>
      <c r="C14" s="12" t="n"/>
      <c r="D14" s="12" t="n"/>
      <c r="E14" s="12" t="n"/>
      <c r="F14" s="12" t="n"/>
      <c r="G14" s="12" t="n"/>
      <c r="H14" s="13">
        <f>SUM(H11:H13)</f>
        <v/>
      </c>
    </row>
    <row r="17">
      <c r="A17" s="14" t="inlineStr">
        <is>
          <t>2) Entre 61 y 90 días desde la venta (0 facturas)</t>
        </is>
      </c>
      <c r="B17" s="14" t="n"/>
      <c r="C17" s="14" t="n"/>
      <c r="D17" s="14" t="n"/>
      <c r="E17" s="14" t="n"/>
      <c r="F17" s="14" t="n"/>
      <c r="G17" s="14" t="n"/>
      <c r="H17" s="14" t="n"/>
    </row>
    <row r="18" ht="30" customHeight="1">
      <c r="A18" s="8" t="inlineStr">
        <is>
          <t>Cliente</t>
        </is>
      </c>
      <c r="B18" s="8" t="inlineStr">
        <is>
          <t>Código</t>
        </is>
      </c>
      <c r="C18" s="8" t="inlineStr">
        <is>
          <t>Documento</t>
        </is>
      </c>
      <c r="D18" s="8" t="inlineStr">
        <is>
          <t>Fecha doc.</t>
        </is>
      </c>
      <c r="E18" s="8" t="inlineStr">
        <is>
          <t>Vencimiento</t>
        </is>
      </c>
      <c r="F18" s="8" t="inlineStr">
        <is>
          <t>Días desde venta</t>
        </is>
      </c>
      <c r="G18" s="8" t="inlineStr">
        <is>
          <t>Días vencida</t>
        </is>
      </c>
      <c r="H18" s="8" t="inlineStr">
        <is>
          <t>Saldo</t>
        </is>
      </c>
    </row>
    <row r="19">
      <c r="A19" s="2" t="inlineStr">
        <is>
          <t>Sin facturas en este tramo.</t>
        </is>
      </c>
    </row>
    <row r="21">
      <c r="A21" s="15" t="inlineStr">
        <is>
          <t>3) Entre 31 y 60 días desde la venta (3 facturas)</t>
        </is>
      </c>
      <c r="B21" s="15" t="n"/>
      <c r="C21" s="15" t="n"/>
      <c r="D21" s="15" t="n"/>
      <c r="E21" s="15" t="n"/>
      <c r="F21" s="15" t="n"/>
      <c r="G21" s="15" t="n"/>
      <c r="H21" s="15" t="n"/>
    </row>
    <row r="22" ht="30" customHeight="1">
      <c r="A22" s="8" t="inlineStr">
        <is>
          <t>Cliente</t>
        </is>
      </c>
      <c r="B22" s="8" t="inlineStr">
        <is>
          <t>Código</t>
        </is>
      </c>
      <c r="C22" s="8" t="inlineStr">
        <is>
          <t>Documento</t>
        </is>
      </c>
      <c r="D22" s="8" t="inlineStr">
        <is>
          <t>Fecha doc.</t>
        </is>
      </c>
      <c r="E22" s="8" t="inlineStr">
        <is>
          <t>Vencimiento</t>
        </is>
      </c>
      <c r="F22" s="8" t="inlineStr">
        <is>
          <t>Días desde venta</t>
        </is>
      </c>
      <c r="G22" s="8" t="inlineStr">
        <is>
          <t>Días vencida</t>
        </is>
      </c>
      <c r="H22" s="8" t="inlineStr">
        <is>
          <t>Saldo</t>
        </is>
      </c>
    </row>
    <row r="23">
      <c r="A23" s="9" t="inlineStr">
        <is>
          <t>Benessere SA.</t>
        </is>
      </c>
      <c r="B23" s="9" t="inlineStr">
        <is>
          <t>22531</t>
        </is>
      </c>
      <c r="C23" s="9" t="inlineStr">
        <is>
          <t>0047-A-00048878</t>
        </is>
      </c>
      <c r="D23" s="10" t="n">
        <v>46273</v>
      </c>
      <c r="E23" s="10" t="n">
        <v>46308</v>
      </c>
      <c r="F23" s="9" t="n">
        <v>37</v>
      </c>
      <c r="G23" s="9" t="n">
        <v>2</v>
      </c>
      <c r="H23" s="11" t="n">
        <v>365184.09</v>
      </c>
    </row>
    <row r="24">
      <c r="A24" s="9" t="inlineStr">
        <is>
          <t>Montero Ricardo Ivan</t>
        </is>
      </c>
      <c r="B24" s="9" t="inlineStr">
        <is>
          <t>22311</t>
        </is>
      </c>
      <c r="C24" s="9" t="inlineStr">
        <is>
          <t>9999-A-10003167</t>
        </is>
      </c>
      <c r="D24" s="10" t="n">
        <v>46266</v>
      </c>
      <c r="E24" s="10" t="n">
        <v>46301</v>
      </c>
      <c r="F24" s="9" t="n">
        <v>44</v>
      </c>
      <c r="G24" s="9" t="n">
        <v>9</v>
      </c>
      <c r="H24" s="11" t="n">
        <v>48887.29</v>
      </c>
    </row>
    <row r="25">
      <c r="A25" s="9" t="inlineStr">
        <is>
          <t>Montero Ricardo Ivan</t>
        </is>
      </c>
      <c r="B25" s="9" t="inlineStr">
        <is>
          <t>22311</t>
        </is>
      </c>
      <c r="C25" s="9" t="inlineStr">
        <is>
          <t>0047-A-00048555</t>
        </is>
      </c>
      <c r="D25" s="10" t="n">
        <v>46266</v>
      </c>
      <c r="E25" s="10" t="n">
        <v>46301</v>
      </c>
      <c r="F25" s="9" t="n">
        <v>44</v>
      </c>
      <c r="G25" s="9" t="n">
        <v>9</v>
      </c>
      <c r="H25" s="11" t="n">
        <v>201690.74</v>
      </c>
    </row>
    <row r="26">
      <c r="A26" s="12" t="inlineStr">
        <is>
          <t>Total</t>
        </is>
      </c>
      <c r="B26" s="12" t="n"/>
      <c r="C26" s="12" t="n"/>
      <c r="D26" s="12" t="n"/>
      <c r="E26" s="12" t="n"/>
      <c r="F26" s="12" t="n"/>
      <c r="G26" s="12" t="n"/>
      <c r="H26" s="13">
        <f>SUM(H23:H25)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Bolsón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9" t="inlineStr">
        <is>
          <t>Benessere SA.</t>
        </is>
      </c>
      <c r="B5" s="9" t="inlineStr">
        <is>
          <t>22531</t>
        </is>
      </c>
      <c r="C5" s="9" t="inlineStr">
        <is>
          <t>0047-A-00048878</t>
        </is>
      </c>
      <c r="D5" s="10" t="n">
        <v>46273</v>
      </c>
      <c r="E5" s="10" t="n">
        <v>46308</v>
      </c>
      <c r="F5" s="9" t="n">
        <v>37</v>
      </c>
      <c r="G5" s="16" t="inlineStr">
        <is>
          <t>31 - 60</t>
        </is>
      </c>
      <c r="H5" s="9" t="n">
        <v>2</v>
      </c>
      <c r="I5" s="11" t="n">
        <v>365184.09</v>
      </c>
      <c r="J5" s="11" t="n">
        <v>0</v>
      </c>
      <c r="K5" s="11" t="n">
        <v>365184.09</v>
      </c>
      <c r="L5" s="17" t="inlineStr">
        <is>
          <t>Vencida</t>
        </is>
      </c>
    </row>
    <row r="6">
      <c r="A6" s="9" t="inlineStr">
        <is>
          <t>El Khazen Gustavo Samir</t>
        </is>
      </c>
      <c r="B6" s="9" t="inlineStr">
        <is>
          <t>22061</t>
        </is>
      </c>
      <c r="C6" s="9" t="inlineStr">
        <is>
          <t>9999-A-10003266</t>
        </is>
      </c>
      <c r="D6" s="10" t="n">
        <v>46309</v>
      </c>
      <c r="E6" s="10" t="n">
        <v>46344</v>
      </c>
      <c r="F6" s="9" t="n">
        <v>1</v>
      </c>
      <c r="G6" s="18" t="inlineStr">
        <is>
          <t>0 - 30</t>
        </is>
      </c>
      <c r="H6" s="9" t="n">
        <v>0</v>
      </c>
      <c r="I6" s="11" t="n">
        <v>213081.5</v>
      </c>
      <c r="J6" s="11" t="n">
        <v>0</v>
      </c>
      <c r="K6" s="11" t="n">
        <v>213081.5</v>
      </c>
      <c r="L6" s="19" t="inlineStr">
        <is>
          <t>En fecha</t>
        </is>
      </c>
    </row>
    <row r="7">
      <c r="A7" s="9" t="inlineStr">
        <is>
          <t>Hotel Cordillera SRL</t>
        </is>
      </c>
      <c r="B7" s="9" t="inlineStr">
        <is>
          <t>22065</t>
        </is>
      </c>
      <c r="C7" s="9" t="inlineStr">
        <is>
          <t>0047-A-00050113</t>
        </is>
      </c>
      <c r="D7" s="10" t="n">
        <v>46304</v>
      </c>
      <c r="E7" s="10" t="n">
        <v>46339</v>
      </c>
      <c r="F7" s="9" t="n">
        <v>6</v>
      </c>
      <c r="G7" s="18" t="inlineStr">
        <is>
          <t>0 - 30</t>
        </is>
      </c>
      <c r="H7" s="9" t="n">
        <v>0</v>
      </c>
      <c r="I7" s="11" t="n">
        <v>302499.11</v>
      </c>
      <c r="J7" s="11" t="n">
        <v>0</v>
      </c>
      <c r="K7" s="11" t="n">
        <v>302499.11</v>
      </c>
      <c r="L7" s="19" t="inlineStr">
        <is>
          <t>En fecha</t>
        </is>
      </c>
    </row>
    <row r="8">
      <c r="A8" s="9" t="inlineStr">
        <is>
          <t>Hotel Cordillera SRL</t>
        </is>
      </c>
      <c r="B8" s="9" t="inlineStr">
        <is>
          <t>22065</t>
        </is>
      </c>
      <c r="C8" s="9" t="inlineStr">
        <is>
          <t>0047-A-00050114</t>
        </is>
      </c>
      <c r="D8" s="10" t="n">
        <v>46304</v>
      </c>
      <c r="E8" s="10" t="n">
        <v>46339</v>
      </c>
      <c r="F8" s="9" t="n">
        <v>6</v>
      </c>
      <c r="G8" s="18" t="inlineStr">
        <is>
          <t>0 - 30</t>
        </is>
      </c>
      <c r="H8" s="9" t="n">
        <v>0</v>
      </c>
      <c r="I8" s="11" t="n">
        <v>3.4</v>
      </c>
      <c r="J8" s="11" t="n">
        <v>0</v>
      </c>
      <c r="K8" s="11" t="n">
        <v>3.4</v>
      </c>
      <c r="L8" s="19" t="inlineStr">
        <is>
          <t>En fecha</t>
        </is>
      </c>
    </row>
    <row r="9">
      <c r="A9" s="9" t="inlineStr">
        <is>
          <t>Jordan Shea Daniel</t>
        </is>
      </c>
      <c r="B9" s="9" t="inlineStr">
        <is>
          <t>22373</t>
        </is>
      </c>
      <c r="C9" s="9" t="inlineStr">
        <is>
          <t>0031-A-00033536</t>
        </is>
      </c>
      <c r="D9" s="10" t="n">
        <v>46014</v>
      </c>
      <c r="E9" s="10" t="n">
        <v>46059</v>
      </c>
      <c r="F9" s="9" t="n">
        <v>296</v>
      </c>
      <c r="G9" s="20" t="inlineStr">
        <is>
          <t>91+</t>
        </is>
      </c>
      <c r="H9" s="9" t="n">
        <v>251</v>
      </c>
      <c r="I9" s="11" t="n">
        <v>62398.97</v>
      </c>
      <c r="J9" s="11" t="n">
        <v>33349.81</v>
      </c>
      <c r="K9" s="11" t="n">
        <v>29049.16</v>
      </c>
      <c r="L9" s="17" t="inlineStr">
        <is>
          <t>Vencida</t>
        </is>
      </c>
    </row>
    <row r="10">
      <c r="A10" s="9" t="inlineStr">
        <is>
          <t>Jordan Shea Daniel</t>
        </is>
      </c>
      <c r="B10" s="9" t="inlineStr">
        <is>
          <t>22373</t>
        </is>
      </c>
      <c r="C10" s="9" t="inlineStr">
        <is>
          <t>9999-A-10002505</t>
        </is>
      </c>
      <c r="D10" s="10" t="n">
        <v>46028</v>
      </c>
      <c r="E10" s="10" t="n">
        <v>46073</v>
      </c>
      <c r="F10" s="9" t="n">
        <v>282</v>
      </c>
      <c r="G10" s="20" t="inlineStr">
        <is>
          <t>91+</t>
        </is>
      </c>
      <c r="H10" s="9" t="n">
        <v>237</v>
      </c>
      <c r="I10" s="11" t="n">
        <v>24273.09</v>
      </c>
      <c r="J10" s="11" t="n">
        <v>0</v>
      </c>
      <c r="K10" s="11" t="n">
        <v>24273.09</v>
      </c>
      <c r="L10" s="17" t="inlineStr">
        <is>
          <t>Vencida</t>
        </is>
      </c>
    </row>
    <row r="11">
      <c r="A11" s="9" t="inlineStr">
        <is>
          <t>Jordan Shea Daniel</t>
        </is>
      </c>
      <c r="B11" s="9" t="inlineStr">
        <is>
          <t>22373</t>
        </is>
      </c>
      <c r="C11" s="9" t="inlineStr">
        <is>
          <t>9999-A-10002506</t>
        </is>
      </c>
      <c r="D11" s="10" t="n">
        <v>46028</v>
      </c>
      <c r="E11" s="10" t="n">
        <v>46073</v>
      </c>
      <c r="F11" s="9" t="n">
        <v>282</v>
      </c>
      <c r="G11" s="20" t="inlineStr">
        <is>
          <t>91+</t>
        </is>
      </c>
      <c r="H11" s="9" t="n">
        <v>237</v>
      </c>
      <c r="I11" s="11" t="n">
        <v>165257.12</v>
      </c>
      <c r="J11" s="11" t="n">
        <v>0</v>
      </c>
      <c r="K11" s="11" t="n">
        <v>165257.12</v>
      </c>
      <c r="L11" s="17" t="inlineStr">
        <is>
          <t>Vencida</t>
        </is>
      </c>
    </row>
    <row r="12">
      <c r="A12" s="9" t="inlineStr">
        <is>
          <t>Montero Ricardo Ivan</t>
        </is>
      </c>
      <c r="B12" s="9" t="inlineStr">
        <is>
          <t>22311</t>
        </is>
      </c>
      <c r="C12" s="9" t="inlineStr">
        <is>
          <t>9999-A-10003167</t>
        </is>
      </c>
      <c r="D12" s="10" t="n">
        <v>46266</v>
      </c>
      <c r="E12" s="10" t="n">
        <v>46301</v>
      </c>
      <c r="F12" s="9" t="n">
        <v>44</v>
      </c>
      <c r="G12" s="16" t="inlineStr">
        <is>
          <t>31 - 60</t>
        </is>
      </c>
      <c r="H12" s="9" t="n">
        <v>9</v>
      </c>
      <c r="I12" s="11" t="n">
        <v>48887.29</v>
      </c>
      <c r="J12" s="11" t="n">
        <v>0</v>
      </c>
      <c r="K12" s="11" t="n">
        <v>48887.29</v>
      </c>
      <c r="L12" s="17" t="inlineStr">
        <is>
          <t>Vencida</t>
        </is>
      </c>
    </row>
    <row r="13">
      <c r="A13" s="9" t="inlineStr">
        <is>
          <t>Montero Ricardo Ivan</t>
        </is>
      </c>
      <c r="B13" s="9" t="inlineStr">
        <is>
          <t>22311</t>
        </is>
      </c>
      <c r="C13" s="9" t="inlineStr">
        <is>
          <t>0047-A-00048555</t>
        </is>
      </c>
      <c r="D13" s="10" t="n">
        <v>46266</v>
      </c>
      <c r="E13" s="10" t="n">
        <v>46301</v>
      </c>
      <c r="F13" s="9" t="n">
        <v>44</v>
      </c>
      <c r="G13" s="16" t="inlineStr">
        <is>
          <t>31 - 60</t>
        </is>
      </c>
      <c r="H13" s="9" t="n">
        <v>9</v>
      </c>
      <c r="I13" s="11" t="n">
        <v>202431.13</v>
      </c>
      <c r="J13" s="11" t="n">
        <v>740.39</v>
      </c>
      <c r="K13" s="11" t="n">
        <v>201690.74</v>
      </c>
      <c r="L13" s="17" t="inlineStr">
        <is>
          <t>Vencida</t>
        </is>
      </c>
    </row>
    <row r="14">
      <c r="A14" s="9" t="inlineStr">
        <is>
          <t>Montero Ricardo Ivan</t>
        </is>
      </c>
      <c r="B14" s="9" t="inlineStr">
        <is>
          <t>22311</t>
        </is>
      </c>
      <c r="C14" s="9" t="inlineStr">
        <is>
          <t>0047-A-00049758</t>
        </is>
      </c>
      <c r="D14" s="10" t="n">
        <v>46295</v>
      </c>
      <c r="E14" s="10" t="n">
        <v>46330</v>
      </c>
      <c r="F14" s="9" t="n">
        <v>15</v>
      </c>
      <c r="G14" s="18" t="inlineStr">
        <is>
          <t>0 - 30</t>
        </is>
      </c>
      <c r="H14" s="9" t="n">
        <v>0</v>
      </c>
      <c r="I14" s="11" t="n">
        <v>26154.69</v>
      </c>
      <c r="J14" s="11" t="n">
        <v>0</v>
      </c>
      <c r="K14" s="11" t="n">
        <v>26154.69</v>
      </c>
      <c r="L14" s="19" t="inlineStr">
        <is>
          <t>En fecha</t>
        </is>
      </c>
    </row>
    <row r="15">
      <c r="A15" s="9" t="inlineStr">
        <is>
          <t>Montero Ricardo Ivan</t>
        </is>
      </c>
      <c r="B15" s="9" t="inlineStr">
        <is>
          <t>22311</t>
        </is>
      </c>
      <c r="C15" s="9" t="inlineStr">
        <is>
          <t>0047-A-00049759</t>
        </is>
      </c>
      <c r="D15" s="10" t="n">
        <v>46295</v>
      </c>
      <c r="E15" s="10" t="n">
        <v>46330</v>
      </c>
      <c r="F15" s="9" t="n">
        <v>15</v>
      </c>
      <c r="G15" s="18" t="inlineStr">
        <is>
          <t>0 - 30</t>
        </is>
      </c>
      <c r="H15" s="9" t="n">
        <v>0</v>
      </c>
      <c r="I15" s="11" t="n">
        <v>60007.14</v>
      </c>
      <c r="J15" s="11" t="n">
        <v>0</v>
      </c>
      <c r="K15" s="11" t="n">
        <v>60007.14</v>
      </c>
      <c r="L15" s="19" t="inlineStr">
        <is>
          <t>En fecha</t>
        </is>
      </c>
    </row>
    <row r="16">
      <c r="A16" s="12" t="inlineStr">
        <is>
          <t>Totales</t>
        </is>
      </c>
      <c r="B16" s="12" t="n"/>
      <c r="C16" s="12" t="n"/>
      <c r="D16" s="12" t="n"/>
      <c r="E16" s="12" t="n"/>
      <c r="F16" s="12" t="n"/>
      <c r="G16" s="12" t="n"/>
      <c r="H16" s="12" t="n"/>
      <c r="I16" s="13">
        <f>SUBTOTAL(9,I5:I15)</f>
        <v/>
      </c>
      <c r="J16" s="13">
        <f>SUBTOTAL(9,J5:J15)</f>
        <v/>
      </c>
      <c r="K16" s="13">
        <f>SUBTOTAL(9,K5:K15)</f>
        <v/>
      </c>
      <c r="L16" s="12" t="n"/>
    </row>
  </sheetData>
  <autoFilter ref="A4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