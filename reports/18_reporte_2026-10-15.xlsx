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completo'!$A$4:$L$14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 #,##0.00"/>
    <numFmt numFmtId="165" formatCode="yyyy-mm-dd"/>
    <numFmt numFmtId="166" formatCode="DD/MM/YYYY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</font>
    <font>
      <b val="1"/>
      <color rgb="00FFFFFF"/>
      <sz val="11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7F1D1D"/>
      </patternFill>
    </fill>
    <fill>
      <patternFill patternType="solid">
        <fgColor rgb="00334155"/>
      </patternFill>
    </fill>
    <fill>
      <patternFill patternType="solid">
        <fgColor rgb="00B91C1C"/>
      </patternFill>
    </fill>
    <fill>
      <patternFill patternType="solid">
        <fgColor rgb="00D97706"/>
      </patternFill>
    </fill>
    <fill>
      <patternFill patternType="solid">
        <fgColor rgb="00E2E8F0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0" fontId="3" fillId="0" borderId="0" applyAlignment="1" pivotButton="0" quotePrefix="0" xfId="0">
      <alignment horizontal="right"/>
    </xf>
    <xf numFmtId="0" fontId="4" fillId="2" borderId="0" pivotButton="0" quotePrefix="0" xfId="0"/>
    <xf numFmtId="0" fontId="5" fillId="3" borderId="0" applyAlignment="1" pivotButton="0" quotePrefix="0" xfId="0">
      <alignment horizontal="center" vertical="center" wrapText="1"/>
    </xf>
    <xf numFmtId="0" fontId="4" fillId="4" borderId="0" pivotButton="0" quotePrefix="0" xfId="0"/>
    <xf numFmtId="0" fontId="4" fillId="5" borderId="0" pivotButton="0" quotePrefix="0" xfId="0"/>
    <xf numFmtId="0" fontId="0" fillId="0" borderId="2" pivotButton="0" quotePrefix="0" xfId="0"/>
    <xf numFmtId="166" fontId="0" fillId="0" borderId="2" pivotButton="0" quotePrefix="0" xfId="0"/>
    <xf numFmtId="164" fontId="0" fillId="0" borderId="2" pivotButton="0" quotePrefix="0" xfId="0"/>
    <xf numFmtId="0" fontId="3" fillId="6" borderId="0" pivotButton="0" quotePrefix="0" xfId="0"/>
    <xf numFmtId="164" fontId="3" fillId="6" borderId="0" pivotButton="0" quotePrefix="0" xfId="0"/>
    <xf numFmtId="0" fontId="0" fillId="7" borderId="2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9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Vendedor Cerro   |   Generado: 15/10/2026 12:38</t>
        </is>
      </c>
    </row>
    <row r="4">
      <c r="A4" s="3" t="inlineStr">
        <is>
          <t>Vendedor</t>
        </is>
      </c>
      <c r="B4" s="3" t="inlineStr">
        <is>
          <t>Suma de 0 - 30</t>
        </is>
      </c>
      <c r="C4" s="3" t="inlineStr">
        <is>
          <t>Suma de 31 - 60</t>
        </is>
      </c>
      <c r="D4" s="3" t="inlineStr">
        <is>
          <t>Suma de 61 - 90</t>
        </is>
      </c>
      <c r="E4" s="3" t="inlineStr">
        <is>
          <t>Suma de 91+</t>
        </is>
      </c>
      <c r="F4" s="3" t="inlineStr">
        <is>
          <t>Suma de Saldo vencido</t>
        </is>
      </c>
    </row>
    <row r="5">
      <c r="A5" s="3" t="inlineStr">
        <is>
          <t>Vendedor Cerro</t>
        </is>
      </c>
      <c r="B5" s="4" t="n">
        <v>993331.83</v>
      </c>
      <c r="C5" s="4" t="n">
        <v>682807.49</v>
      </c>
      <c r="D5" s="4" t="n"/>
      <c r="E5" s="4" t="n"/>
      <c r="F5" s="4" t="n">
        <v>1676139.32</v>
      </c>
    </row>
    <row r="6">
      <c r="A6" s="5" t="inlineStr">
        <is>
          <t>Total en %</t>
        </is>
      </c>
      <c r="B6" s="6" t="n">
        <v>0.5926308261773848</v>
      </c>
      <c r="C6" s="6" t="n">
        <v>0.4073691738226152</v>
      </c>
      <c r="D6" s="6" t="n">
        <v>0</v>
      </c>
      <c r="E6" s="6" t="n">
        <v>0</v>
      </c>
      <c r="F6" s="6" t="n">
        <v>1</v>
      </c>
    </row>
    <row r="9">
      <c r="A9" s="7" t="inlineStr">
        <is>
          <t>1) Más de 90 días desde la venta (0 facturas)</t>
        </is>
      </c>
      <c r="B9" s="7" t="n"/>
      <c r="C9" s="7" t="n"/>
      <c r="D9" s="7" t="n"/>
      <c r="E9" s="7" t="n"/>
      <c r="F9" s="7" t="n"/>
      <c r="G9" s="7" t="n"/>
      <c r="H9" s="7" t="n"/>
    </row>
    <row r="10" ht="30" customHeight="1">
      <c r="A10" s="8" t="inlineStr">
        <is>
          <t>Cliente</t>
        </is>
      </c>
      <c r="B10" s="8" t="inlineStr">
        <is>
          <t>Código</t>
        </is>
      </c>
      <c r="C10" s="8" t="inlineStr">
        <is>
          <t>Documento</t>
        </is>
      </c>
      <c r="D10" s="8" t="inlineStr">
        <is>
          <t>Fecha doc.</t>
        </is>
      </c>
      <c r="E10" s="8" t="inlineStr">
        <is>
          <t>Vencimiento</t>
        </is>
      </c>
      <c r="F10" s="8" t="inlineStr">
        <is>
          <t>Días desde venta</t>
        </is>
      </c>
      <c r="G10" s="8" t="inlineStr">
        <is>
          <t>Días vencida</t>
        </is>
      </c>
      <c r="H10" s="8" t="inlineStr">
        <is>
          <t>Saldo</t>
        </is>
      </c>
    </row>
    <row r="11">
      <c r="A11" s="2" t="inlineStr">
        <is>
          <t>Sin facturas en este tramo.</t>
        </is>
      </c>
    </row>
    <row r="13">
      <c r="A13" s="9" t="inlineStr">
        <is>
          <t>2) Entre 61 y 90 días desde la venta (0 facturas)</t>
        </is>
      </c>
      <c r="B13" s="9" t="n"/>
      <c r="C13" s="9" t="n"/>
      <c r="D13" s="9" t="n"/>
      <c r="E13" s="9" t="n"/>
      <c r="F13" s="9" t="n"/>
      <c r="G13" s="9" t="n"/>
      <c r="H13" s="9" t="n"/>
    </row>
    <row r="14" ht="30" customHeight="1">
      <c r="A14" s="8" t="inlineStr">
        <is>
          <t>Cliente</t>
        </is>
      </c>
      <c r="B14" s="8" t="inlineStr">
        <is>
          <t>Código</t>
        </is>
      </c>
      <c r="C14" s="8" t="inlineStr">
        <is>
          <t>Documento</t>
        </is>
      </c>
      <c r="D14" s="8" t="inlineStr">
        <is>
          <t>Fecha doc.</t>
        </is>
      </c>
      <c r="E14" s="8" t="inlineStr">
        <is>
          <t>Vencimiento</t>
        </is>
      </c>
      <c r="F14" s="8" t="inlineStr">
        <is>
          <t>Días desde venta</t>
        </is>
      </c>
      <c r="G14" s="8" t="inlineStr">
        <is>
          <t>Días vencida</t>
        </is>
      </c>
      <c r="H14" s="8" t="inlineStr">
        <is>
          <t>Saldo</t>
        </is>
      </c>
    </row>
    <row r="15">
      <c r="A15" s="2" t="inlineStr">
        <is>
          <t>Sin facturas en este tramo.</t>
        </is>
      </c>
    </row>
    <row r="17">
      <c r="A17" s="10" t="inlineStr">
        <is>
          <t>3) Entre 31 y 60 días desde la venta (3 facturas)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 ht="30" customHeight="1">
      <c r="A18" s="8" t="inlineStr">
        <is>
          <t>Cliente</t>
        </is>
      </c>
      <c r="B18" s="8" t="inlineStr">
        <is>
          <t>Código</t>
        </is>
      </c>
      <c r="C18" s="8" t="inlineStr">
        <is>
          <t>Documento</t>
        </is>
      </c>
      <c r="D18" s="8" t="inlineStr">
        <is>
          <t>Fecha doc.</t>
        </is>
      </c>
      <c r="E18" s="8" t="inlineStr">
        <is>
          <t>Vencimiento</t>
        </is>
      </c>
      <c r="F18" s="8" t="inlineStr">
        <is>
          <t>Días desde venta</t>
        </is>
      </c>
      <c r="G18" s="8" t="inlineStr">
        <is>
          <t>Días vencida</t>
        </is>
      </c>
      <c r="H18" s="8" t="inlineStr">
        <is>
          <t>Saldo</t>
        </is>
      </c>
    </row>
    <row r="19">
      <c r="A19" s="11" t="inlineStr">
        <is>
          <t>Alto Catedral SAS.</t>
        </is>
      </c>
      <c r="B19" s="11" t="inlineStr">
        <is>
          <t>22008</t>
        </is>
      </c>
      <c r="C19" s="11" t="inlineStr">
        <is>
          <t>0047-A-00048065</t>
        </is>
      </c>
      <c r="D19" s="12" t="n">
        <v>46253</v>
      </c>
      <c r="E19" s="12" t="n">
        <v>46288</v>
      </c>
      <c r="F19" s="11" t="n">
        <v>57</v>
      </c>
      <c r="G19" s="11" t="n">
        <v>22</v>
      </c>
      <c r="H19" s="13" t="n">
        <v>388560.55</v>
      </c>
    </row>
    <row r="20">
      <c r="A20" s="11" t="inlineStr">
        <is>
          <t>Alto Catedral SAS.</t>
        </is>
      </c>
      <c r="B20" s="11" t="inlineStr">
        <is>
          <t>22008</t>
        </is>
      </c>
      <c r="C20" s="11" t="inlineStr">
        <is>
          <t>0047-A-00048859</t>
        </is>
      </c>
      <c r="D20" s="12" t="n">
        <v>46273</v>
      </c>
      <c r="E20" s="12" t="n">
        <v>46308</v>
      </c>
      <c r="F20" s="11" t="n">
        <v>37</v>
      </c>
      <c r="G20" s="11" t="n">
        <v>2</v>
      </c>
      <c r="H20" s="13" t="n">
        <v>83765.91</v>
      </c>
    </row>
    <row r="21">
      <c r="A21" s="11" t="inlineStr">
        <is>
          <t>Herrera Luis Ignacio</t>
        </is>
      </c>
      <c r="B21" s="11" t="inlineStr">
        <is>
          <t>22646</t>
        </is>
      </c>
      <c r="C21" s="11" t="inlineStr">
        <is>
          <t>0047-A-00048054</t>
        </is>
      </c>
      <c r="D21" s="12" t="n">
        <v>46253</v>
      </c>
      <c r="E21" s="12" t="n">
        <v>46288</v>
      </c>
      <c r="F21" s="11" t="n">
        <v>57</v>
      </c>
      <c r="G21" s="11" t="n">
        <v>22</v>
      </c>
      <c r="H21" s="13" t="n">
        <v>210481.03</v>
      </c>
    </row>
    <row r="22">
      <c r="A22" s="14" t="inlineStr">
        <is>
          <t>Total</t>
        </is>
      </c>
      <c r="B22" s="14" t="n"/>
      <c r="C22" s="14" t="n"/>
      <c r="D22" s="14" t="n"/>
      <c r="E22" s="14" t="n"/>
      <c r="F22" s="14" t="n"/>
      <c r="G22" s="14" t="n"/>
      <c r="H22" s="15">
        <f>SUM(H19:H21)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0" customWidth="1" min="7" max="7"/>
    <col width="12" customWidth="1" min="8" max="8"/>
    <col width="18" customWidth="1" min="9" max="9"/>
    <col width="18" customWidth="1" min="10" max="10"/>
    <col width="18" customWidth="1" min="11" max="11"/>
    <col width="12" customWidth="1" min="12" max="12"/>
  </cols>
  <sheetData>
    <row r="1">
      <c r="A1" s="1" t="inlineStr">
        <is>
          <t>Reporte completo de facturas abiertas</t>
        </is>
      </c>
    </row>
    <row r="2">
      <c r="A2" s="2" t="inlineStr">
        <is>
          <t>Vendedor: Vendedor Cerro   |   Generado: 15/10/2026 12:38</t>
        </is>
      </c>
    </row>
    <row r="4" ht="30" customHeight="1">
      <c r="A4" s="8" t="inlineStr">
        <is>
          <t>Cliente</t>
        </is>
      </c>
      <c r="B4" s="8" t="inlineStr">
        <is>
          <t>Código</t>
        </is>
      </c>
      <c r="C4" s="8" t="inlineStr">
        <is>
          <t>Documento</t>
        </is>
      </c>
      <c r="D4" s="8" t="inlineStr">
        <is>
          <t>Fecha doc.</t>
        </is>
      </c>
      <c r="E4" s="8" t="inlineStr">
        <is>
          <t>Vencimiento</t>
        </is>
      </c>
      <c r="F4" s="8" t="inlineStr">
        <is>
          <t>Días desde venta</t>
        </is>
      </c>
      <c r="G4" s="8" t="inlineStr">
        <is>
          <t>Tramo</t>
        </is>
      </c>
      <c r="H4" s="8" t="inlineStr">
        <is>
          <t>Días vencida</t>
        </is>
      </c>
      <c r="I4" s="8" t="inlineStr">
        <is>
          <t>Total</t>
        </is>
      </c>
      <c r="J4" s="8" t="inlineStr">
        <is>
          <t>Pagado</t>
        </is>
      </c>
      <c r="K4" s="8" t="inlineStr">
        <is>
          <t>Saldo</t>
        </is>
      </c>
      <c r="L4" s="8" t="inlineStr">
        <is>
          <t>Estado</t>
        </is>
      </c>
    </row>
    <row r="5">
      <c r="A5" s="11" t="inlineStr">
        <is>
          <t>Alto Catedral SAS.</t>
        </is>
      </c>
      <c r="B5" s="11" t="inlineStr">
        <is>
          <t>22008</t>
        </is>
      </c>
      <c r="C5" s="11" t="inlineStr">
        <is>
          <t>0047-A-00048065</t>
        </is>
      </c>
      <c r="D5" s="12" t="n">
        <v>46253</v>
      </c>
      <c r="E5" s="12" t="n">
        <v>46288</v>
      </c>
      <c r="F5" s="11" t="n">
        <v>57</v>
      </c>
      <c r="G5" s="16" t="inlineStr">
        <is>
          <t>31 - 60</t>
        </is>
      </c>
      <c r="H5" s="11" t="n">
        <v>22</v>
      </c>
      <c r="I5" s="13" t="n">
        <v>827498.62</v>
      </c>
      <c r="J5" s="13" t="n">
        <v>438938.07</v>
      </c>
      <c r="K5" s="13" t="n">
        <v>388560.55</v>
      </c>
      <c r="L5" s="17" t="inlineStr">
        <is>
          <t>Vencida</t>
        </is>
      </c>
    </row>
    <row r="6">
      <c r="A6" s="11" t="inlineStr">
        <is>
          <t>Alto Catedral SAS.</t>
        </is>
      </c>
      <c r="B6" s="11" t="inlineStr">
        <is>
          <t>22008</t>
        </is>
      </c>
      <c r="C6" s="11" t="inlineStr">
        <is>
          <t>0047-A-00048859</t>
        </is>
      </c>
      <c r="D6" s="12" t="n">
        <v>46273</v>
      </c>
      <c r="E6" s="12" t="n">
        <v>46308</v>
      </c>
      <c r="F6" s="11" t="n">
        <v>37</v>
      </c>
      <c r="G6" s="16" t="inlineStr">
        <is>
          <t>31 - 60</t>
        </is>
      </c>
      <c r="H6" s="11" t="n">
        <v>2</v>
      </c>
      <c r="I6" s="13" t="n">
        <v>83765.91</v>
      </c>
      <c r="J6" s="13" t="n">
        <v>0</v>
      </c>
      <c r="K6" s="13" t="n">
        <v>83765.91</v>
      </c>
      <c r="L6" s="17" t="inlineStr">
        <is>
          <t>Vencida</t>
        </is>
      </c>
    </row>
    <row r="7">
      <c r="A7" s="11" t="inlineStr">
        <is>
          <t>Alto Catedral SAS.</t>
        </is>
      </c>
      <c r="B7" s="11" t="inlineStr">
        <is>
          <t>22008</t>
        </is>
      </c>
      <c r="C7" s="11" t="inlineStr">
        <is>
          <t>0047-A-00049154</t>
        </is>
      </c>
      <c r="D7" s="12" t="n">
        <v>46280</v>
      </c>
      <c r="E7" s="12" t="n">
        <v>46315</v>
      </c>
      <c r="F7" s="11" t="n">
        <v>30</v>
      </c>
      <c r="G7" s="18" t="inlineStr">
        <is>
          <t>0 - 30</t>
        </is>
      </c>
      <c r="H7" s="11" t="n">
        <v>0</v>
      </c>
      <c r="I7" s="13" t="n">
        <v>298271.04</v>
      </c>
      <c r="J7" s="13" t="n">
        <v>0</v>
      </c>
      <c r="K7" s="13" t="n">
        <v>298271.04</v>
      </c>
      <c r="L7" s="19" t="inlineStr">
        <is>
          <t>En fecha</t>
        </is>
      </c>
    </row>
    <row r="8">
      <c r="A8" s="11" t="inlineStr">
        <is>
          <t>Alto Catedral SAS.</t>
        </is>
      </c>
      <c r="B8" s="11" t="inlineStr">
        <is>
          <t>22008</t>
        </is>
      </c>
      <c r="C8" s="11" t="inlineStr">
        <is>
          <t>0061-A-00003282</t>
        </is>
      </c>
      <c r="D8" s="12" t="n">
        <v>46284</v>
      </c>
      <c r="E8" s="12" t="n">
        <v>46284</v>
      </c>
      <c r="F8" s="11" t="n">
        <v>26</v>
      </c>
      <c r="G8" s="18" t="inlineStr">
        <is>
          <t>0 - 30</t>
        </is>
      </c>
      <c r="H8" s="11" t="n">
        <v>26</v>
      </c>
      <c r="I8" s="13" t="n">
        <v>103006.72</v>
      </c>
      <c r="J8" s="13" t="n">
        <v>0</v>
      </c>
      <c r="K8" s="13" t="n">
        <v>103006.72</v>
      </c>
      <c r="L8" s="17" t="inlineStr">
        <is>
          <t>Vencida</t>
        </is>
      </c>
    </row>
    <row r="9">
      <c r="A9" s="11" t="inlineStr">
        <is>
          <t>Alto Catedral SAS.</t>
        </is>
      </c>
      <c r="B9" s="11" t="inlineStr">
        <is>
          <t>22008</t>
        </is>
      </c>
      <c r="C9" s="11" t="inlineStr">
        <is>
          <t>0047-A-00049476</t>
        </is>
      </c>
      <c r="D9" s="12" t="n">
        <v>46287</v>
      </c>
      <c r="E9" s="12" t="n">
        <v>46322</v>
      </c>
      <c r="F9" s="11" t="n">
        <v>23</v>
      </c>
      <c r="G9" s="18" t="inlineStr">
        <is>
          <t>0 - 30</t>
        </is>
      </c>
      <c r="H9" s="11" t="n">
        <v>0</v>
      </c>
      <c r="I9" s="13" t="n">
        <v>333003.31</v>
      </c>
      <c r="J9" s="13" t="n">
        <v>0</v>
      </c>
      <c r="K9" s="13" t="n">
        <v>333003.31</v>
      </c>
      <c r="L9" s="19" t="inlineStr">
        <is>
          <t>En fecha</t>
        </is>
      </c>
    </row>
    <row r="10">
      <c r="A10" s="11" t="inlineStr">
        <is>
          <t>Herrera Luis Ignacio</t>
        </is>
      </c>
      <c r="B10" s="11" t="inlineStr">
        <is>
          <t>22646</t>
        </is>
      </c>
      <c r="C10" s="11" t="inlineStr">
        <is>
          <t>0047-A-00048054</t>
        </is>
      </c>
      <c r="D10" s="12" t="n">
        <v>46253</v>
      </c>
      <c r="E10" s="12" t="n">
        <v>46288</v>
      </c>
      <c r="F10" s="11" t="n">
        <v>57</v>
      </c>
      <c r="G10" s="16" t="inlineStr">
        <is>
          <t>31 - 60</t>
        </is>
      </c>
      <c r="H10" s="11" t="n">
        <v>22</v>
      </c>
      <c r="I10" s="13" t="n">
        <v>210481.03</v>
      </c>
      <c r="J10" s="13" t="n">
        <v>0</v>
      </c>
      <c r="K10" s="13" t="n">
        <v>210481.03</v>
      </c>
      <c r="L10" s="17" t="inlineStr">
        <is>
          <t>Vencida</t>
        </is>
      </c>
    </row>
    <row r="11">
      <c r="A11" s="11" t="inlineStr">
        <is>
          <t>Herrera Luis Ignacio</t>
        </is>
      </c>
      <c r="B11" s="11" t="inlineStr">
        <is>
          <t>22646</t>
        </is>
      </c>
      <c r="C11" s="11" t="inlineStr">
        <is>
          <t>0047-A-00049396</t>
        </is>
      </c>
      <c r="D11" s="12" t="n">
        <v>46286</v>
      </c>
      <c r="E11" s="12" t="n">
        <v>46321</v>
      </c>
      <c r="F11" s="11" t="n">
        <v>24</v>
      </c>
      <c r="G11" s="18" t="inlineStr">
        <is>
          <t>0 - 30</t>
        </is>
      </c>
      <c r="H11" s="11" t="n">
        <v>0</v>
      </c>
      <c r="I11" s="13" t="n">
        <v>64847.23</v>
      </c>
      <c r="J11" s="13" t="n">
        <v>0</v>
      </c>
      <c r="K11" s="13" t="n">
        <v>64847.23</v>
      </c>
      <c r="L11" s="19" t="inlineStr">
        <is>
          <t>En fecha</t>
        </is>
      </c>
    </row>
    <row r="12">
      <c r="A12" s="11" t="inlineStr">
        <is>
          <t>Herrera Luis Ignacio</t>
        </is>
      </c>
      <c r="B12" s="11" t="inlineStr">
        <is>
          <t>22646</t>
        </is>
      </c>
      <c r="C12" s="11" t="inlineStr">
        <is>
          <t>0047-A-00049469</t>
        </is>
      </c>
      <c r="D12" s="12" t="n">
        <v>46287</v>
      </c>
      <c r="E12" s="12" t="n">
        <v>46322</v>
      </c>
      <c r="F12" s="11" t="n">
        <v>23</v>
      </c>
      <c r="G12" s="18" t="inlineStr">
        <is>
          <t>0 - 30</t>
        </is>
      </c>
      <c r="H12" s="11" t="n">
        <v>0</v>
      </c>
      <c r="I12" s="13" t="n">
        <v>64847.23</v>
      </c>
      <c r="J12" s="13" t="n">
        <v>0</v>
      </c>
      <c r="K12" s="13" t="n">
        <v>64847.23</v>
      </c>
      <c r="L12" s="19" t="inlineStr">
        <is>
          <t>En fecha</t>
        </is>
      </c>
    </row>
    <row r="13">
      <c r="A13" s="11" t="inlineStr">
        <is>
          <t>Ymaz &amp; Martinez SAS.</t>
        </is>
      </c>
      <c r="B13" s="11" t="inlineStr">
        <is>
          <t>22625</t>
        </is>
      </c>
      <c r="C13" s="11" t="inlineStr">
        <is>
          <t>0062-A-00003164</t>
        </is>
      </c>
      <c r="D13" s="12" t="n">
        <v>46280</v>
      </c>
      <c r="E13" s="12" t="n">
        <v>46280</v>
      </c>
      <c r="F13" s="11" t="n">
        <v>30</v>
      </c>
      <c r="G13" s="18" t="inlineStr">
        <is>
          <t>0 - 30</t>
        </is>
      </c>
      <c r="H13" s="11" t="n">
        <v>30</v>
      </c>
      <c r="I13" s="13" t="n">
        <v>111545.84</v>
      </c>
      <c r="J13" s="13" t="n">
        <v>46786.54</v>
      </c>
      <c r="K13" s="13" t="n">
        <v>64759.3</v>
      </c>
      <c r="L13" s="17" t="inlineStr">
        <is>
          <t>Vencida</t>
        </is>
      </c>
    </row>
    <row r="14">
      <c r="A14" s="11" t="inlineStr">
        <is>
          <t>Ymaz &amp; Martinez SAS.</t>
        </is>
      </c>
      <c r="B14" s="11" t="inlineStr">
        <is>
          <t>22625</t>
        </is>
      </c>
      <c r="C14" s="11" t="inlineStr">
        <is>
          <t>0062-A-00003258</t>
        </is>
      </c>
      <c r="D14" s="12" t="n">
        <v>46294</v>
      </c>
      <c r="E14" s="12" t="n">
        <v>46294</v>
      </c>
      <c r="F14" s="11" t="n">
        <v>16</v>
      </c>
      <c r="G14" s="18" t="inlineStr">
        <is>
          <t>0 - 30</t>
        </is>
      </c>
      <c r="H14" s="11" t="n">
        <v>16</v>
      </c>
      <c r="I14" s="13" t="n">
        <v>64597</v>
      </c>
      <c r="J14" s="13" t="n">
        <v>0</v>
      </c>
      <c r="K14" s="13" t="n">
        <v>64597</v>
      </c>
      <c r="L14" s="17" t="inlineStr">
        <is>
          <t>Vencida</t>
        </is>
      </c>
    </row>
    <row r="15">
      <c r="A15" s="14" t="inlineStr">
        <is>
          <t>Totales</t>
        </is>
      </c>
      <c r="B15" s="14" t="n"/>
      <c r="C15" s="14" t="n"/>
      <c r="D15" s="14" t="n"/>
      <c r="E15" s="14" t="n"/>
      <c r="F15" s="14" t="n"/>
      <c r="G15" s="14" t="n"/>
      <c r="H15" s="14" t="n"/>
      <c r="I15" s="15">
        <f>SUBTOTAL(9,I5:I14)</f>
        <v/>
      </c>
      <c r="J15" s="15">
        <f>SUBTOTAL(9,J5:J14)</f>
        <v/>
      </c>
      <c r="K15" s="15">
        <f>SUBTOTAL(9,K5:K14)</f>
        <v/>
      </c>
      <c r="L15" s="14" t="n"/>
    </row>
  </sheetData>
  <autoFilter ref="A4:L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2026-10-15T15:38:40Z</dcterms:created>
  <dcterms:modified xmlns:dcterms="http://purl.org/dc/terms/" xmlns:xsi="http://www.w3.org/2001/XMLSchema-instance" xsi:type="dcterms:W3CDTF">2026-10-15T15:38:40Z</dcterms:modified>
</cp:coreProperties>
</file>