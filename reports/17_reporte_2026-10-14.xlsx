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gente" sheetId="1" state="visible" r:id="rId1"/>
    <sheet xmlns:r="http://schemas.openxmlformats.org/officeDocument/2006/relationships" name="Reporte completo" sheetId="2" state="visible" r:id="rId2"/>
  </sheets>
  <definedNames>
    <definedName name="_xlnm._FilterDatabase" localSheetId="1" hidden="1">'Reporte completo'!$A$4:$K$15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&quot;$&quot; #,##0.00"/>
  </numFmts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color rgb="0064748B"/>
      <sz val="10"/>
    </font>
    <font>
      <b val="1"/>
      <color rgb="00FFFFFF"/>
      <sz val="11"/>
    </font>
    <font>
      <b val="1"/>
      <color rgb="00FFFFFF"/>
      <sz val="10"/>
    </font>
    <font>
      <b val="1"/>
    </font>
  </fonts>
  <fills count="9">
    <fill>
      <patternFill/>
    </fill>
    <fill>
      <patternFill patternType="gray125"/>
    </fill>
    <fill>
      <patternFill patternType="solid">
        <fgColor rgb="00B91C1C"/>
      </patternFill>
    </fill>
    <fill>
      <patternFill patternType="solid">
        <fgColor rgb="00334155"/>
      </patternFill>
    </fill>
    <fill>
      <patternFill patternType="solid">
        <fgColor rgb="00E2E8F0"/>
      </patternFill>
    </fill>
    <fill>
      <patternFill patternType="solid">
        <fgColor rgb="00D97706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bottom style="thin">
        <color rgb="00E2E8F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0" fontId="5" fillId="4" borderId="0" pivotButton="0" quotePrefix="0" xfId="0"/>
    <xf numFmtId="166" fontId="5" fillId="4" borderId="0" pivotButton="0" quotePrefix="0" xfId="0"/>
    <xf numFmtId="0" fontId="3" fillId="5" borderId="0" pivotButton="0" quotePrefix="0" xfId="0"/>
    <xf numFmtId="0" fontId="0" fillId="6" borderId="1" pivotButton="0" quotePrefix="0" xfId="0"/>
    <xf numFmtId="0" fontId="0" fillId="7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20" customWidth="1" min="3" max="3"/>
    <col width="13" customWidth="1" min="4" max="4"/>
    <col width="13" customWidth="1" min="5" max="5"/>
    <col width="12" customWidth="1" min="6" max="6"/>
    <col width="12" customWidth="1" min="7" max="7"/>
    <col width="18" customWidth="1" min="8" max="8"/>
  </cols>
  <sheetData>
    <row r="1">
      <c r="A1" s="1" t="inlineStr">
        <is>
          <t>Facturas urgentes por antigüedad de venta</t>
        </is>
      </c>
    </row>
    <row r="2">
      <c r="A2" s="2" t="inlineStr">
        <is>
          <t>Vendedor: Vendedor Bolsón   |   Generado: 14/10/2026 16:18</t>
        </is>
      </c>
    </row>
    <row r="4">
      <c r="A4" s="3" t="inlineStr">
        <is>
          <t>1) Más de 60 días desde la venta (3 facturas)</t>
        </is>
      </c>
      <c r="B4" s="3" t="n"/>
      <c r="C4" s="3" t="n"/>
      <c r="D4" s="3" t="n"/>
      <c r="E4" s="3" t="n"/>
      <c r="F4" s="3" t="n"/>
      <c r="G4" s="3" t="n"/>
      <c r="H4" s="3" t="n"/>
    </row>
    <row r="5" ht="30" customHeight="1">
      <c r="A5" s="4" t="inlineStr">
        <is>
          <t>Cliente</t>
        </is>
      </c>
      <c r="B5" s="4" t="inlineStr">
        <is>
          <t>Código</t>
        </is>
      </c>
      <c r="C5" s="4" t="inlineStr">
        <is>
          <t>Documento</t>
        </is>
      </c>
      <c r="D5" s="4" t="inlineStr">
        <is>
          <t>Fecha doc.</t>
        </is>
      </c>
      <c r="E5" s="4" t="inlineStr">
        <is>
          <t>Vencimiento</t>
        </is>
      </c>
      <c r="F5" s="4" t="inlineStr">
        <is>
          <t>Días desde venta</t>
        </is>
      </c>
      <c r="G5" s="4" t="inlineStr">
        <is>
          <t>Días vencida</t>
        </is>
      </c>
      <c r="H5" s="4" t="inlineStr">
        <is>
          <t>Saldo</t>
        </is>
      </c>
    </row>
    <row r="6">
      <c r="A6" s="5" t="inlineStr">
        <is>
          <t>Jordan Shea Daniel</t>
        </is>
      </c>
      <c r="B6" s="5" t="inlineStr">
        <is>
          <t>22373</t>
        </is>
      </c>
      <c r="C6" s="5" t="inlineStr">
        <is>
          <t>0031-A-00033536</t>
        </is>
      </c>
      <c r="D6" s="6" t="n">
        <v>46014</v>
      </c>
      <c r="E6" s="6" t="n">
        <v>46059</v>
      </c>
      <c r="F6" s="5" t="n">
        <v>295</v>
      </c>
      <c r="G6" s="5" t="n">
        <v>250</v>
      </c>
      <c r="H6" s="7" t="n">
        <v>29049.16</v>
      </c>
    </row>
    <row r="7">
      <c r="A7" s="5" t="inlineStr">
        <is>
          <t>Jordan Shea Daniel</t>
        </is>
      </c>
      <c r="B7" s="5" t="inlineStr">
        <is>
          <t>22373</t>
        </is>
      </c>
      <c r="C7" s="5" t="inlineStr">
        <is>
          <t>9999-A-10002505</t>
        </is>
      </c>
      <c r="D7" s="6" t="n">
        <v>46028</v>
      </c>
      <c r="E7" s="6" t="n">
        <v>46073</v>
      </c>
      <c r="F7" s="5" t="n">
        <v>281</v>
      </c>
      <c r="G7" s="5" t="n">
        <v>236</v>
      </c>
      <c r="H7" s="7" t="n">
        <v>24273.09</v>
      </c>
    </row>
    <row r="8">
      <c r="A8" s="5" t="inlineStr">
        <is>
          <t>Jordan Shea Daniel</t>
        </is>
      </c>
      <c r="B8" s="5" t="inlineStr">
        <is>
          <t>22373</t>
        </is>
      </c>
      <c r="C8" s="5" t="inlineStr">
        <is>
          <t>9999-A-10002506</t>
        </is>
      </c>
      <c r="D8" s="6" t="n">
        <v>46028</v>
      </c>
      <c r="E8" s="6" t="n">
        <v>46073</v>
      </c>
      <c r="F8" s="5" t="n">
        <v>281</v>
      </c>
      <c r="G8" s="5" t="n">
        <v>236</v>
      </c>
      <c r="H8" s="7" t="n">
        <v>165257.12</v>
      </c>
    </row>
    <row r="9">
      <c r="A9" s="8" t="inlineStr">
        <is>
          <t>Total</t>
        </is>
      </c>
      <c r="B9" s="8" t="n"/>
      <c r="C9" s="8" t="n"/>
      <c r="D9" s="8" t="n"/>
      <c r="E9" s="8" t="n"/>
      <c r="F9" s="8" t="n"/>
      <c r="G9" s="8" t="n"/>
      <c r="H9" s="9">
        <f>SUM(H6:H8)</f>
        <v/>
      </c>
    </row>
    <row r="12">
      <c r="A12" s="10" t="inlineStr">
        <is>
          <t>2) Entre 31 y 60 días desde la venta (3 facturas)</t>
        </is>
      </c>
      <c r="B12" s="10" t="n"/>
      <c r="C12" s="10" t="n"/>
      <c r="D12" s="10" t="n"/>
      <c r="E12" s="10" t="n"/>
      <c r="F12" s="10" t="n"/>
      <c r="G12" s="10" t="n"/>
      <c r="H12" s="10" t="n"/>
    </row>
    <row r="13" ht="30" customHeight="1">
      <c r="A13" s="4" t="inlineStr">
        <is>
          <t>Cliente</t>
        </is>
      </c>
      <c r="B13" s="4" t="inlineStr">
        <is>
          <t>Código</t>
        </is>
      </c>
      <c r="C13" s="4" t="inlineStr">
        <is>
          <t>Documento</t>
        </is>
      </c>
      <c r="D13" s="4" t="inlineStr">
        <is>
          <t>Fecha doc.</t>
        </is>
      </c>
      <c r="E13" s="4" t="inlineStr">
        <is>
          <t>Vencimiento</t>
        </is>
      </c>
      <c r="F13" s="4" t="inlineStr">
        <is>
          <t>Días desde venta</t>
        </is>
      </c>
      <c r="G13" s="4" t="inlineStr">
        <is>
          <t>Días vencida</t>
        </is>
      </c>
      <c r="H13" s="4" t="inlineStr">
        <is>
          <t>Saldo</t>
        </is>
      </c>
    </row>
    <row r="14">
      <c r="A14" s="5" t="inlineStr">
        <is>
          <t>Benessere SA.</t>
        </is>
      </c>
      <c r="B14" s="5" t="inlineStr">
        <is>
          <t>22531</t>
        </is>
      </c>
      <c r="C14" s="5" t="inlineStr">
        <is>
          <t>0047-A-00048878</t>
        </is>
      </c>
      <c r="D14" s="6" t="n">
        <v>46273</v>
      </c>
      <c r="E14" s="6" t="n">
        <v>46308</v>
      </c>
      <c r="F14" s="5" t="n">
        <v>36</v>
      </c>
      <c r="G14" s="5" t="n">
        <v>1</v>
      </c>
      <c r="H14" s="7" t="n">
        <v>365184.09</v>
      </c>
    </row>
    <row r="15">
      <c r="A15" s="5" t="inlineStr">
        <is>
          <t>Montero Ricardo Ivan</t>
        </is>
      </c>
      <c r="B15" s="5" t="inlineStr">
        <is>
          <t>22311</t>
        </is>
      </c>
      <c r="C15" s="5" t="inlineStr">
        <is>
          <t>9999-A-10003167</t>
        </is>
      </c>
      <c r="D15" s="6" t="n">
        <v>46266</v>
      </c>
      <c r="E15" s="6" t="n">
        <v>46301</v>
      </c>
      <c r="F15" s="5" t="n">
        <v>43</v>
      </c>
      <c r="G15" s="5" t="n">
        <v>8</v>
      </c>
      <c r="H15" s="7" t="n">
        <v>48887.29</v>
      </c>
    </row>
    <row r="16">
      <c r="A16" s="5" t="inlineStr">
        <is>
          <t>Montero Ricardo Ivan</t>
        </is>
      </c>
      <c r="B16" s="5" t="inlineStr">
        <is>
          <t>22311</t>
        </is>
      </c>
      <c r="C16" s="5" t="inlineStr">
        <is>
          <t>0047-A-00048555</t>
        </is>
      </c>
      <c r="D16" s="6" t="n">
        <v>46266</v>
      </c>
      <c r="E16" s="6" t="n">
        <v>46301</v>
      </c>
      <c r="F16" s="5" t="n">
        <v>43</v>
      </c>
      <c r="G16" s="5" t="n">
        <v>8</v>
      </c>
      <c r="H16" s="7" t="n">
        <v>201690.74</v>
      </c>
    </row>
    <row r="17">
      <c r="A17" s="8" t="inlineStr">
        <is>
          <t>Total</t>
        </is>
      </c>
      <c r="B17" s="8" t="n"/>
      <c r="C17" s="8" t="n"/>
      <c r="D17" s="8" t="n"/>
      <c r="E17" s="8" t="n"/>
      <c r="F17" s="8" t="n"/>
      <c r="G17" s="8" t="n"/>
      <c r="H17" s="9">
        <f>SUM(H14:H16)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0" customWidth="1" min="2" max="2"/>
    <col width="20" customWidth="1" min="3" max="3"/>
    <col width="13" customWidth="1" min="4" max="4"/>
    <col width="13" customWidth="1" min="5" max="5"/>
    <col width="12" customWidth="1" min="6" max="6"/>
    <col width="12" customWidth="1" min="7" max="7"/>
    <col width="18" customWidth="1" min="8" max="8"/>
    <col width="18" customWidth="1" min="9" max="9"/>
    <col width="18" customWidth="1" min="10" max="10"/>
    <col width="12" customWidth="1" min="11" max="11"/>
  </cols>
  <sheetData>
    <row r="1">
      <c r="A1" s="1" t="inlineStr">
        <is>
          <t>Reporte completo de facturas abiertas</t>
        </is>
      </c>
    </row>
    <row r="2">
      <c r="A2" s="2" t="inlineStr">
        <is>
          <t>Vendedor: Vendedor Bolsón   |   Generado: 14/10/2026 16:18</t>
        </is>
      </c>
    </row>
    <row r="4" ht="30" customHeight="1">
      <c r="A4" s="4" t="inlineStr">
        <is>
          <t>Cliente</t>
        </is>
      </c>
      <c r="B4" s="4" t="inlineStr">
        <is>
          <t>Código</t>
        </is>
      </c>
      <c r="C4" s="4" t="inlineStr">
        <is>
          <t>Documento</t>
        </is>
      </c>
      <c r="D4" s="4" t="inlineStr">
        <is>
          <t>Fecha doc.</t>
        </is>
      </c>
      <c r="E4" s="4" t="inlineStr">
        <is>
          <t>Vencimiento</t>
        </is>
      </c>
      <c r="F4" s="4" t="inlineStr">
        <is>
          <t>Días desde venta</t>
        </is>
      </c>
      <c r="G4" s="4" t="inlineStr">
        <is>
          <t>Días vencida</t>
        </is>
      </c>
      <c r="H4" s="4" t="inlineStr">
        <is>
          <t>Total</t>
        </is>
      </c>
      <c r="I4" s="4" t="inlineStr">
        <is>
          <t>Pagado</t>
        </is>
      </c>
      <c r="J4" s="4" t="inlineStr">
        <is>
          <t>Saldo</t>
        </is>
      </c>
      <c r="K4" s="4" t="inlineStr">
        <is>
          <t>Estado</t>
        </is>
      </c>
    </row>
    <row r="5">
      <c r="A5" s="5" t="inlineStr">
        <is>
          <t>Benessere SA.</t>
        </is>
      </c>
      <c r="B5" s="5" t="inlineStr">
        <is>
          <t>22531</t>
        </is>
      </c>
      <c r="C5" s="5" t="inlineStr">
        <is>
          <t>0047-A-00048878</t>
        </is>
      </c>
      <c r="D5" s="6" t="n">
        <v>46273</v>
      </c>
      <c r="E5" s="6" t="n">
        <v>46308</v>
      </c>
      <c r="F5" s="11" t="n">
        <v>36</v>
      </c>
      <c r="G5" s="5" t="n">
        <v>1</v>
      </c>
      <c r="H5" s="7" t="n">
        <v>365184.09</v>
      </c>
      <c r="I5" s="7" t="n">
        <v>0</v>
      </c>
      <c r="J5" s="7" t="n">
        <v>365184.09</v>
      </c>
      <c r="K5" s="12" t="inlineStr">
        <is>
          <t>Vencida</t>
        </is>
      </c>
    </row>
    <row r="6">
      <c r="A6" s="5" t="inlineStr">
        <is>
          <t>El Khazen Gustavo Samir</t>
        </is>
      </c>
      <c r="B6" s="5" t="inlineStr">
        <is>
          <t>22061</t>
        </is>
      </c>
      <c r="C6" s="5" t="inlineStr">
        <is>
          <t>9999-A-10003266</t>
        </is>
      </c>
      <c r="D6" s="6" t="n">
        <v>46309</v>
      </c>
      <c r="E6" s="6" t="n">
        <v>46344</v>
      </c>
      <c r="F6" s="5" t="n">
        <v>0</v>
      </c>
      <c r="G6" s="5" t="n">
        <v>0</v>
      </c>
      <c r="H6" s="7" t="n">
        <v>213081.5</v>
      </c>
      <c r="I6" s="7" t="n">
        <v>0</v>
      </c>
      <c r="J6" s="7" t="n">
        <v>213081.5</v>
      </c>
      <c r="K6" s="13" t="inlineStr">
        <is>
          <t>En fecha</t>
        </is>
      </c>
    </row>
    <row r="7">
      <c r="A7" s="5" t="inlineStr">
        <is>
          <t>Hotel Cordillera SRL</t>
        </is>
      </c>
      <c r="B7" s="5" t="inlineStr">
        <is>
          <t>22065</t>
        </is>
      </c>
      <c r="C7" s="5" t="inlineStr">
        <is>
          <t>0047-A-00050113</t>
        </is>
      </c>
      <c r="D7" s="6" t="n">
        <v>46304</v>
      </c>
      <c r="E7" s="6" t="n">
        <v>46339</v>
      </c>
      <c r="F7" s="5" t="n">
        <v>5</v>
      </c>
      <c r="G7" s="5" t="n">
        <v>0</v>
      </c>
      <c r="H7" s="7" t="n">
        <v>302499.11</v>
      </c>
      <c r="I7" s="7" t="n">
        <v>0</v>
      </c>
      <c r="J7" s="7" t="n">
        <v>302499.11</v>
      </c>
      <c r="K7" s="13" t="inlineStr">
        <is>
          <t>En fecha</t>
        </is>
      </c>
    </row>
    <row r="8">
      <c r="A8" s="5" t="inlineStr">
        <is>
          <t>Hotel Cordillera SRL</t>
        </is>
      </c>
      <c r="B8" s="5" t="inlineStr">
        <is>
          <t>22065</t>
        </is>
      </c>
      <c r="C8" s="5" t="inlineStr">
        <is>
          <t>0047-A-00050114</t>
        </is>
      </c>
      <c r="D8" s="6" t="n">
        <v>46304</v>
      </c>
      <c r="E8" s="6" t="n">
        <v>46339</v>
      </c>
      <c r="F8" s="5" t="n">
        <v>5</v>
      </c>
      <c r="G8" s="5" t="n">
        <v>0</v>
      </c>
      <c r="H8" s="7" t="n">
        <v>3.4</v>
      </c>
      <c r="I8" s="7" t="n">
        <v>0</v>
      </c>
      <c r="J8" s="7" t="n">
        <v>3.4</v>
      </c>
      <c r="K8" s="13" t="inlineStr">
        <is>
          <t>En fecha</t>
        </is>
      </c>
    </row>
    <row r="9">
      <c r="A9" s="5" t="inlineStr">
        <is>
          <t>Jordan Shea Daniel</t>
        </is>
      </c>
      <c r="B9" s="5" t="inlineStr">
        <is>
          <t>22373</t>
        </is>
      </c>
      <c r="C9" s="5" t="inlineStr">
        <is>
          <t>0031-A-00033536</t>
        </is>
      </c>
      <c r="D9" s="6" t="n">
        <v>46014</v>
      </c>
      <c r="E9" s="6" t="n">
        <v>46059</v>
      </c>
      <c r="F9" s="14" t="n">
        <v>295</v>
      </c>
      <c r="G9" s="5" t="n">
        <v>250</v>
      </c>
      <c r="H9" s="7" t="n">
        <v>62398.97</v>
      </c>
      <c r="I9" s="7" t="n">
        <v>33349.81</v>
      </c>
      <c r="J9" s="7" t="n">
        <v>29049.16</v>
      </c>
      <c r="K9" s="12" t="inlineStr">
        <is>
          <t>Vencida</t>
        </is>
      </c>
    </row>
    <row r="10">
      <c r="A10" s="5" t="inlineStr">
        <is>
          <t>Jordan Shea Daniel</t>
        </is>
      </c>
      <c r="B10" s="5" t="inlineStr">
        <is>
          <t>22373</t>
        </is>
      </c>
      <c r="C10" s="5" t="inlineStr">
        <is>
          <t>9999-A-10002505</t>
        </is>
      </c>
      <c r="D10" s="6" t="n">
        <v>46028</v>
      </c>
      <c r="E10" s="6" t="n">
        <v>46073</v>
      </c>
      <c r="F10" s="14" t="n">
        <v>281</v>
      </c>
      <c r="G10" s="5" t="n">
        <v>236</v>
      </c>
      <c r="H10" s="7" t="n">
        <v>24273.09</v>
      </c>
      <c r="I10" s="7" t="n">
        <v>0</v>
      </c>
      <c r="J10" s="7" t="n">
        <v>24273.09</v>
      </c>
      <c r="K10" s="12" t="inlineStr">
        <is>
          <t>Vencida</t>
        </is>
      </c>
    </row>
    <row r="11">
      <c r="A11" s="5" t="inlineStr">
        <is>
          <t>Jordan Shea Daniel</t>
        </is>
      </c>
      <c r="B11" s="5" t="inlineStr">
        <is>
          <t>22373</t>
        </is>
      </c>
      <c r="C11" s="5" t="inlineStr">
        <is>
          <t>9999-A-10002506</t>
        </is>
      </c>
      <c r="D11" s="6" t="n">
        <v>46028</v>
      </c>
      <c r="E11" s="6" t="n">
        <v>46073</v>
      </c>
      <c r="F11" s="14" t="n">
        <v>281</v>
      </c>
      <c r="G11" s="5" t="n">
        <v>236</v>
      </c>
      <c r="H11" s="7" t="n">
        <v>165257.12</v>
      </c>
      <c r="I11" s="7" t="n">
        <v>0</v>
      </c>
      <c r="J11" s="7" t="n">
        <v>165257.12</v>
      </c>
      <c r="K11" s="12" t="inlineStr">
        <is>
          <t>Vencida</t>
        </is>
      </c>
    </row>
    <row r="12">
      <c r="A12" s="5" t="inlineStr">
        <is>
          <t>Montero Ricardo Ivan</t>
        </is>
      </c>
      <c r="B12" s="5" t="inlineStr">
        <is>
          <t>22311</t>
        </is>
      </c>
      <c r="C12" s="5" t="inlineStr">
        <is>
          <t>9999-A-10003167</t>
        </is>
      </c>
      <c r="D12" s="6" t="n">
        <v>46266</v>
      </c>
      <c r="E12" s="6" t="n">
        <v>46301</v>
      </c>
      <c r="F12" s="11" t="n">
        <v>43</v>
      </c>
      <c r="G12" s="5" t="n">
        <v>8</v>
      </c>
      <c r="H12" s="7" t="n">
        <v>48887.29</v>
      </c>
      <c r="I12" s="7" t="n">
        <v>0</v>
      </c>
      <c r="J12" s="7" t="n">
        <v>48887.29</v>
      </c>
      <c r="K12" s="12" t="inlineStr">
        <is>
          <t>Vencida</t>
        </is>
      </c>
    </row>
    <row r="13">
      <c r="A13" s="5" t="inlineStr">
        <is>
          <t>Montero Ricardo Ivan</t>
        </is>
      </c>
      <c r="B13" s="5" t="inlineStr">
        <is>
          <t>22311</t>
        </is>
      </c>
      <c r="C13" s="5" t="inlineStr">
        <is>
          <t>0047-A-00048555</t>
        </is>
      </c>
      <c r="D13" s="6" t="n">
        <v>46266</v>
      </c>
      <c r="E13" s="6" t="n">
        <v>46301</v>
      </c>
      <c r="F13" s="11" t="n">
        <v>43</v>
      </c>
      <c r="G13" s="5" t="n">
        <v>8</v>
      </c>
      <c r="H13" s="7" t="n">
        <v>202431.13</v>
      </c>
      <c r="I13" s="7" t="n">
        <v>740.39</v>
      </c>
      <c r="J13" s="7" t="n">
        <v>201690.74</v>
      </c>
      <c r="K13" s="12" t="inlineStr">
        <is>
          <t>Vencida</t>
        </is>
      </c>
    </row>
    <row r="14">
      <c r="A14" s="5" t="inlineStr">
        <is>
          <t>Montero Ricardo Ivan</t>
        </is>
      </c>
      <c r="B14" s="5" t="inlineStr">
        <is>
          <t>22311</t>
        </is>
      </c>
      <c r="C14" s="5" t="inlineStr">
        <is>
          <t>0047-A-00049758</t>
        </is>
      </c>
      <c r="D14" s="6" t="n">
        <v>46295</v>
      </c>
      <c r="E14" s="6" t="n">
        <v>46330</v>
      </c>
      <c r="F14" s="5" t="n">
        <v>14</v>
      </c>
      <c r="G14" s="5" t="n">
        <v>0</v>
      </c>
      <c r="H14" s="7" t="n">
        <v>26154.69</v>
      </c>
      <c r="I14" s="7" t="n">
        <v>0</v>
      </c>
      <c r="J14" s="7" t="n">
        <v>26154.69</v>
      </c>
      <c r="K14" s="13" t="inlineStr">
        <is>
          <t>En fecha</t>
        </is>
      </c>
    </row>
    <row r="15">
      <c r="A15" s="5" t="inlineStr">
        <is>
          <t>Montero Ricardo Ivan</t>
        </is>
      </c>
      <c r="B15" s="5" t="inlineStr">
        <is>
          <t>22311</t>
        </is>
      </c>
      <c r="C15" s="5" t="inlineStr">
        <is>
          <t>0047-A-00049759</t>
        </is>
      </c>
      <c r="D15" s="6" t="n">
        <v>46295</v>
      </c>
      <c r="E15" s="6" t="n">
        <v>46330</v>
      </c>
      <c r="F15" s="5" t="n">
        <v>14</v>
      </c>
      <c r="G15" s="5" t="n">
        <v>0</v>
      </c>
      <c r="H15" s="7" t="n">
        <v>60007.14</v>
      </c>
      <c r="I15" s="7" t="n">
        <v>0</v>
      </c>
      <c r="J15" s="7" t="n">
        <v>60007.14</v>
      </c>
      <c r="K15" s="13" t="inlineStr">
        <is>
          <t>En fecha</t>
        </is>
      </c>
    </row>
    <row r="16">
      <c r="A16" s="8" t="inlineStr">
        <is>
          <t>Totales</t>
        </is>
      </c>
      <c r="B16" s="8" t="n"/>
      <c r="C16" s="8" t="n"/>
      <c r="D16" s="8" t="n"/>
      <c r="E16" s="8" t="n"/>
      <c r="F16" s="8" t="n"/>
      <c r="G16" s="8" t="n"/>
      <c r="H16" s="9">
        <f>SUBTOTAL(9,H5:H15)</f>
        <v/>
      </c>
      <c r="I16" s="9">
        <f>SUBTOTAL(9,I5:I15)</f>
        <v/>
      </c>
      <c r="J16" s="9">
        <f>SUBTOTAL(9,J5:J15)</f>
        <v/>
      </c>
      <c r="K16" s="8" t="n"/>
    </row>
  </sheetData>
  <autoFilter ref="A4:K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2026-10-14T19:18:16Z</dcterms:created>
  <dcterms:modified xmlns:dcterms="http://purl.org/dc/terms/" xmlns:xsi="http://www.w3.org/2001/XMLSchema-instance" xsi:type="dcterms:W3CDTF">2026-10-14T19:18:16Z</dcterms:modified>
</cp:coreProperties>
</file>