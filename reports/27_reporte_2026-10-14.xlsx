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completo'!$A$4:$K$33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 #,##0.00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  <color rgb="00FFFFFF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D97706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5" fillId="4" borderId="0" pivotButton="0" quotePrefix="0" xfId="0"/>
    <xf numFmtId="166" fontId="5" fillId="4" borderId="0" pivotButton="0" quotePrefix="0" xfId="0"/>
    <xf numFmtId="0" fontId="3" fillId="5" borderId="0" pivotButton="0" quotePrefix="0" xfId="0"/>
    <xf numFmtId="0" fontId="0" fillId="6" borderId="1" applyAlignment="1" pivotButton="0" quotePrefix="0" xfId="0">
      <alignment horizontal="center"/>
    </xf>
    <xf numFmtId="0" fontId="0" fillId="7" borderId="1" pivotButton="0" quotePrefix="0" xfId="0"/>
    <xf numFmtId="0" fontId="0" fillId="7" borderId="1" applyAlignment="1" pivotButton="0" quotePrefix="0" xfId="0">
      <alignment horizontal="center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Vendedor SMA   |   Generado: 14/10/2026 16:18</t>
        </is>
      </c>
    </row>
    <row r="4">
      <c r="A4" s="3" t="inlineStr">
        <is>
          <t>1) Más de 60 días desde la venta (3 facturas)</t>
        </is>
      </c>
      <c r="B4" s="3" t="n"/>
      <c r="C4" s="3" t="n"/>
      <c r="D4" s="3" t="n"/>
      <c r="E4" s="3" t="n"/>
      <c r="F4" s="3" t="n"/>
      <c r="G4" s="3" t="n"/>
      <c r="H4" s="3" t="n"/>
    </row>
    <row r="5" ht="30" customHeight="1">
      <c r="A5" s="4" t="inlineStr">
        <is>
          <t>Cliente</t>
        </is>
      </c>
      <c r="B5" s="4" t="inlineStr">
        <is>
          <t>Código</t>
        </is>
      </c>
      <c r="C5" s="4" t="inlineStr">
        <is>
          <t>Documento</t>
        </is>
      </c>
      <c r="D5" s="4" t="inlineStr">
        <is>
          <t>Fecha doc.</t>
        </is>
      </c>
      <c r="E5" s="4" t="inlineStr">
        <is>
          <t>Vencimiento</t>
        </is>
      </c>
      <c r="F5" s="4" t="inlineStr">
        <is>
          <t>Días desde venta</t>
        </is>
      </c>
      <c r="G5" s="4" t="inlineStr">
        <is>
          <t>Días vencida</t>
        </is>
      </c>
      <c r="H5" s="4" t="inlineStr">
        <is>
          <t>Saldo</t>
        </is>
      </c>
    </row>
    <row r="6">
      <c r="A6" s="5" t="inlineStr">
        <is>
          <t>Carle Pablo Mauricio</t>
        </is>
      </c>
      <c r="B6" s="5" t="inlineStr">
        <is>
          <t>22215</t>
        </is>
      </c>
      <c r="C6" s="5" t="inlineStr">
        <is>
          <t>9999-A-10003001</t>
        </is>
      </c>
      <c r="D6" s="6" t="n">
        <v>46198</v>
      </c>
      <c r="E6" s="6" t="n">
        <v>46233</v>
      </c>
      <c r="F6" s="5" t="n">
        <v>111</v>
      </c>
      <c r="G6" s="5" t="n">
        <v>76</v>
      </c>
      <c r="H6" s="7" t="n">
        <v>37343.8</v>
      </c>
    </row>
    <row r="7">
      <c r="A7" s="5" t="inlineStr">
        <is>
          <t>Lignac Diego</t>
        </is>
      </c>
      <c r="B7" s="5" t="inlineStr">
        <is>
          <t>20657</t>
        </is>
      </c>
      <c r="C7" s="5" t="inlineStr">
        <is>
          <t>0047-A-00044043</t>
        </is>
      </c>
      <c r="D7" s="6" t="n">
        <v>46149</v>
      </c>
      <c r="E7" s="6" t="n">
        <v>46194</v>
      </c>
      <c r="F7" s="5" t="n">
        <v>160</v>
      </c>
      <c r="G7" s="5" t="n">
        <v>115</v>
      </c>
      <c r="H7" s="7" t="n">
        <v>401176.14</v>
      </c>
    </row>
    <row r="8">
      <c r="A8" s="5" t="inlineStr">
        <is>
          <t>Rivera Juan Leonardo</t>
        </is>
      </c>
      <c r="B8" s="5" t="inlineStr">
        <is>
          <t>21064</t>
        </is>
      </c>
      <c r="C8" s="5" t="inlineStr">
        <is>
          <t>0047-A-00047606</t>
        </is>
      </c>
      <c r="D8" s="6" t="n">
        <v>46242</v>
      </c>
      <c r="E8" s="6" t="n">
        <v>46277</v>
      </c>
      <c r="F8" s="5" t="n">
        <v>67</v>
      </c>
      <c r="G8" s="5" t="n">
        <v>32</v>
      </c>
      <c r="H8" s="7" t="n">
        <v>229039.93</v>
      </c>
    </row>
    <row r="9">
      <c r="A9" s="8" t="inlineStr">
        <is>
          <t>Total</t>
        </is>
      </c>
      <c r="B9" s="8" t="n"/>
      <c r="C9" s="8" t="n"/>
      <c r="D9" s="8" t="n"/>
      <c r="E9" s="8" t="n"/>
      <c r="F9" s="8" t="n"/>
      <c r="G9" s="8" t="n"/>
      <c r="H9" s="9">
        <f>SUM(H6:H8)</f>
        <v/>
      </c>
    </row>
    <row r="12">
      <c r="A12" s="10" t="inlineStr">
        <is>
          <t>2) Entre 31 y 60 días desde la venta (7 facturas)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 ht="30" customHeight="1">
      <c r="A13" s="4" t="inlineStr">
        <is>
          <t>Cliente</t>
        </is>
      </c>
      <c r="B13" s="4" t="inlineStr">
        <is>
          <t>Código</t>
        </is>
      </c>
      <c r="C13" s="4" t="inlineStr">
        <is>
          <t>Documento</t>
        </is>
      </c>
      <c r="D13" s="4" t="inlineStr">
        <is>
          <t>Fecha doc.</t>
        </is>
      </c>
      <c r="E13" s="4" t="inlineStr">
        <is>
          <t>Vencimiento</t>
        </is>
      </c>
      <c r="F13" s="4" t="inlineStr">
        <is>
          <t>Días desde venta</t>
        </is>
      </c>
      <c r="G13" s="4" t="inlineStr">
        <is>
          <t>Días vencida</t>
        </is>
      </c>
      <c r="H13" s="4" t="inlineStr">
        <is>
          <t>Saldo</t>
        </is>
      </c>
    </row>
    <row r="14">
      <c r="A14" s="5" t="inlineStr">
        <is>
          <t>Carro Daniela</t>
        </is>
      </c>
      <c r="B14" s="5" t="inlineStr">
        <is>
          <t>21926</t>
        </is>
      </c>
      <c r="C14" s="5" t="inlineStr">
        <is>
          <t>0047-A-00048333</t>
        </is>
      </c>
      <c r="D14" s="6" t="n">
        <v>46261</v>
      </c>
      <c r="E14" s="6" t="n">
        <v>46296</v>
      </c>
      <c r="F14" s="5" t="n">
        <v>48</v>
      </c>
      <c r="G14" s="5" t="n">
        <v>13</v>
      </c>
      <c r="H14" s="7" t="n">
        <v>759146.87</v>
      </c>
    </row>
    <row r="15">
      <c r="A15" s="5" t="inlineStr">
        <is>
          <t>Castellets SRL.</t>
        </is>
      </c>
      <c r="B15" s="5" t="inlineStr">
        <is>
          <t>22520</t>
        </is>
      </c>
      <c r="C15" s="5" t="inlineStr">
        <is>
          <t>0047-A-00048715</t>
        </is>
      </c>
      <c r="D15" s="6" t="n">
        <v>46269</v>
      </c>
      <c r="E15" s="6" t="n">
        <v>46304</v>
      </c>
      <c r="F15" s="5" t="n">
        <v>40</v>
      </c>
      <c r="G15" s="5" t="n">
        <v>5</v>
      </c>
      <c r="H15" s="7" t="n">
        <v>264272.11</v>
      </c>
    </row>
    <row r="16">
      <c r="A16" s="5" t="inlineStr">
        <is>
          <t>Castellets SRL.</t>
        </is>
      </c>
      <c r="B16" s="5" t="inlineStr">
        <is>
          <t>22520</t>
        </is>
      </c>
      <c r="C16" s="5" t="inlineStr">
        <is>
          <t>0047-A-00048718</t>
        </is>
      </c>
      <c r="D16" s="6" t="n">
        <v>46269</v>
      </c>
      <c r="E16" s="6" t="n">
        <v>46304</v>
      </c>
      <c r="F16" s="5" t="n">
        <v>40</v>
      </c>
      <c r="G16" s="5" t="n">
        <v>5</v>
      </c>
      <c r="H16" s="7" t="n">
        <v>186908.82</v>
      </c>
    </row>
    <row r="17">
      <c r="A17" s="5" t="inlineStr">
        <is>
          <t>Cia Insumos Patagónicos SA</t>
        </is>
      </c>
      <c r="B17" s="5" t="inlineStr">
        <is>
          <t>21742</t>
        </is>
      </c>
      <c r="C17" s="5" t="inlineStr">
        <is>
          <t>0047-A-00048989</t>
        </is>
      </c>
      <c r="D17" s="6" t="n">
        <v>46275</v>
      </c>
      <c r="E17" s="6" t="n">
        <v>46310</v>
      </c>
      <c r="F17" s="5" t="n">
        <v>34</v>
      </c>
      <c r="G17" s="5" t="n">
        <v>0</v>
      </c>
      <c r="H17" s="7" t="n">
        <v>88197.05</v>
      </c>
    </row>
    <row r="18">
      <c r="A18" s="5" t="inlineStr">
        <is>
          <t>Foster Maria de la Paz</t>
        </is>
      </c>
      <c r="B18" s="5" t="inlineStr">
        <is>
          <t>20945</t>
        </is>
      </c>
      <c r="C18" s="5" t="inlineStr">
        <is>
          <t>0047-A-00048443</t>
        </is>
      </c>
      <c r="D18" s="6" t="n">
        <v>46265</v>
      </c>
      <c r="E18" s="6" t="n">
        <v>46300</v>
      </c>
      <c r="F18" s="5" t="n">
        <v>44</v>
      </c>
      <c r="G18" s="5" t="n">
        <v>9</v>
      </c>
      <c r="H18" s="7" t="n">
        <v>596689.4300000001</v>
      </c>
    </row>
    <row r="19">
      <c r="A19" s="5" t="inlineStr">
        <is>
          <t>Foster Maria de la Paz</t>
        </is>
      </c>
      <c r="B19" s="5" t="inlineStr">
        <is>
          <t>20945</t>
        </is>
      </c>
      <c r="C19" s="5" t="inlineStr">
        <is>
          <t>0047-A-00048717</t>
        </is>
      </c>
      <c r="D19" s="6" t="n">
        <v>46269</v>
      </c>
      <c r="E19" s="6" t="n">
        <v>46304</v>
      </c>
      <c r="F19" s="5" t="n">
        <v>40</v>
      </c>
      <c r="G19" s="5" t="n">
        <v>5</v>
      </c>
      <c r="H19" s="7" t="n">
        <v>238192.87</v>
      </c>
    </row>
    <row r="20">
      <c r="A20" s="5" t="inlineStr">
        <is>
          <t>Lake Board SA</t>
        </is>
      </c>
      <c r="B20" s="5" t="inlineStr">
        <is>
          <t>20970</t>
        </is>
      </c>
      <c r="C20" s="5" t="inlineStr">
        <is>
          <t>0047-A-00048873</t>
        </is>
      </c>
      <c r="D20" s="6" t="n">
        <v>46273</v>
      </c>
      <c r="E20" s="6" t="n">
        <v>46308</v>
      </c>
      <c r="F20" s="5" t="n">
        <v>36</v>
      </c>
      <c r="G20" s="5" t="n">
        <v>1</v>
      </c>
      <c r="H20" s="7" t="n">
        <v>914560.89</v>
      </c>
    </row>
    <row r="21">
      <c r="A21" s="8" t="inlineStr">
        <is>
          <t>Total</t>
        </is>
      </c>
      <c r="B21" s="8" t="n"/>
      <c r="C21" s="8" t="n"/>
      <c r="D21" s="8" t="n"/>
      <c r="E21" s="8" t="n"/>
      <c r="F21" s="8" t="n"/>
      <c r="G21" s="8" t="n"/>
      <c r="H21" s="9">
        <f>SUM(H14:H20)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2" customWidth="1" min="11" max="11"/>
  </cols>
  <sheetData>
    <row r="1">
      <c r="A1" s="1" t="inlineStr">
        <is>
          <t>Reporte completo de facturas abiertas</t>
        </is>
      </c>
    </row>
    <row r="2">
      <c r="A2" s="2" t="inlineStr">
        <is>
          <t>Vendedor: Vendedor SMA   |   Generado: 14/10/2026 16:18</t>
        </is>
      </c>
    </row>
    <row r="4" ht="30" customHeight="1">
      <c r="A4" s="4" t="inlineStr">
        <is>
          <t>Cliente</t>
        </is>
      </c>
      <c r="B4" s="4" t="inlineStr">
        <is>
          <t>Código</t>
        </is>
      </c>
      <c r="C4" s="4" t="inlineStr">
        <is>
          <t>Documento</t>
        </is>
      </c>
      <c r="D4" s="4" t="inlineStr">
        <is>
          <t>Fecha doc.</t>
        </is>
      </c>
      <c r="E4" s="4" t="inlineStr">
        <is>
          <t>Vencimiento</t>
        </is>
      </c>
      <c r="F4" s="4" t="inlineStr">
        <is>
          <t>Días desde venta</t>
        </is>
      </c>
      <c r="G4" s="4" t="inlineStr">
        <is>
          <t>Días vencida</t>
        </is>
      </c>
      <c r="H4" s="4" t="inlineStr">
        <is>
          <t>Total</t>
        </is>
      </c>
      <c r="I4" s="4" t="inlineStr">
        <is>
          <t>Pagado</t>
        </is>
      </c>
      <c r="J4" s="4" t="inlineStr">
        <is>
          <t>Saldo</t>
        </is>
      </c>
      <c r="K4" s="4" t="inlineStr">
        <is>
          <t>Estado</t>
        </is>
      </c>
    </row>
    <row r="5">
      <c r="A5" s="5" t="inlineStr">
        <is>
          <t>Capiet Norma Monica</t>
        </is>
      </c>
      <c r="B5" s="5" t="inlineStr">
        <is>
          <t>21281</t>
        </is>
      </c>
      <c r="C5" s="5" t="inlineStr">
        <is>
          <t>0047-A-00050241</t>
        </is>
      </c>
      <c r="D5" s="6" t="n">
        <v>46309</v>
      </c>
      <c r="E5" s="6" t="n">
        <v>46344</v>
      </c>
      <c r="F5" s="5" t="n">
        <v>0</v>
      </c>
      <c r="G5" s="5" t="n">
        <v>0</v>
      </c>
      <c r="H5" s="7" t="n">
        <v>1462141.46</v>
      </c>
      <c r="I5" s="7" t="n">
        <v>0</v>
      </c>
      <c r="J5" s="7" t="n">
        <v>1462141.46</v>
      </c>
      <c r="K5" s="11" t="inlineStr">
        <is>
          <t>En fecha</t>
        </is>
      </c>
    </row>
    <row r="6">
      <c r="A6" s="5" t="inlineStr">
        <is>
          <t>Carle Pablo Mauricio</t>
        </is>
      </c>
      <c r="B6" s="5" t="inlineStr">
        <is>
          <t>22215</t>
        </is>
      </c>
      <c r="C6" s="5" t="inlineStr">
        <is>
          <t>9999-A-10003001</t>
        </is>
      </c>
      <c r="D6" s="6" t="n">
        <v>46198</v>
      </c>
      <c r="E6" s="6" t="n">
        <v>46233</v>
      </c>
      <c r="F6" s="12" t="n">
        <v>111</v>
      </c>
      <c r="G6" s="5" t="n">
        <v>76</v>
      </c>
      <c r="H6" s="7" t="n">
        <v>684493.8</v>
      </c>
      <c r="I6" s="7" t="n">
        <v>647150</v>
      </c>
      <c r="J6" s="7" t="n">
        <v>37343.8</v>
      </c>
      <c r="K6" s="13" t="inlineStr">
        <is>
          <t>Vencida</t>
        </is>
      </c>
    </row>
    <row r="7">
      <c r="A7" s="5" t="inlineStr">
        <is>
          <t>Carro Daniela</t>
        </is>
      </c>
      <c r="B7" s="5" t="inlineStr">
        <is>
          <t>21926</t>
        </is>
      </c>
      <c r="C7" s="5" t="inlineStr">
        <is>
          <t>0047-A-00048333</t>
        </is>
      </c>
      <c r="D7" s="6" t="n">
        <v>46261</v>
      </c>
      <c r="E7" s="6" t="n">
        <v>46296</v>
      </c>
      <c r="F7" s="14" t="n">
        <v>48</v>
      </c>
      <c r="G7" s="5" t="n">
        <v>13</v>
      </c>
      <c r="H7" s="7" t="n">
        <v>759146.87</v>
      </c>
      <c r="I7" s="7" t="n">
        <v>0</v>
      </c>
      <c r="J7" s="7" t="n">
        <v>759146.87</v>
      </c>
      <c r="K7" s="13" t="inlineStr">
        <is>
          <t>Vencida</t>
        </is>
      </c>
    </row>
    <row r="8">
      <c r="A8" s="5" t="inlineStr">
        <is>
          <t>Castellets SRL.</t>
        </is>
      </c>
      <c r="B8" s="5" t="inlineStr">
        <is>
          <t>22520</t>
        </is>
      </c>
      <c r="C8" s="5" t="inlineStr">
        <is>
          <t>0047-A-00048715</t>
        </is>
      </c>
      <c r="D8" s="6" t="n">
        <v>46269</v>
      </c>
      <c r="E8" s="6" t="n">
        <v>46304</v>
      </c>
      <c r="F8" s="14" t="n">
        <v>40</v>
      </c>
      <c r="G8" s="5" t="n">
        <v>5</v>
      </c>
      <c r="H8" s="7" t="n">
        <v>264272.11</v>
      </c>
      <c r="I8" s="7" t="n">
        <v>0</v>
      </c>
      <c r="J8" s="7" t="n">
        <v>264272.11</v>
      </c>
      <c r="K8" s="13" t="inlineStr">
        <is>
          <t>Vencida</t>
        </is>
      </c>
    </row>
    <row r="9">
      <c r="A9" s="5" t="inlineStr">
        <is>
          <t>Castellets SRL.</t>
        </is>
      </c>
      <c r="B9" s="5" t="inlineStr">
        <is>
          <t>22520</t>
        </is>
      </c>
      <c r="C9" s="5" t="inlineStr">
        <is>
          <t>0047-A-00048718</t>
        </is>
      </c>
      <c r="D9" s="6" t="n">
        <v>46269</v>
      </c>
      <c r="E9" s="6" t="n">
        <v>46304</v>
      </c>
      <c r="F9" s="14" t="n">
        <v>40</v>
      </c>
      <c r="G9" s="5" t="n">
        <v>5</v>
      </c>
      <c r="H9" s="7" t="n">
        <v>186908.82</v>
      </c>
      <c r="I9" s="7" t="n">
        <v>0</v>
      </c>
      <c r="J9" s="7" t="n">
        <v>186908.82</v>
      </c>
      <c r="K9" s="13" t="inlineStr">
        <is>
          <t>Vencida</t>
        </is>
      </c>
    </row>
    <row r="10">
      <c r="A10" s="5" t="inlineStr">
        <is>
          <t>Castellets SRL.</t>
        </is>
      </c>
      <c r="B10" s="5" t="inlineStr">
        <is>
          <t>22520</t>
        </is>
      </c>
      <c r="C10" s="5" t="inlineStr">
        <is>
          <t>0047-A-00049890</t>
        </is>
      </c>
      <c r="D10" s="6" t="n">
        <v>46298</v>
      </c>
      <c r="E10" s="6" t="n">
        <v>46333</v>
      </c>
      <c r="F10" s="5" t="n">
        <v>11</v>
      </c>
      <c r="G10" s="5" t="n">
        <v>0</v>
      </c>
      <c r="H10" s="7" t="n">
        <v>127862.2</v>
      </c>
      <c r="I10" s="7" t="n">
        <v>0</v>
      </c>
      <c r="J10" s="7" t="n">
        <v>127862.2</v>
      </c>
      <c r="K10" s="11" t="inlineStr">
        <is>
          <t>En fecha</t>
        </is>
      </c>
    </row>
    <row r="11">
      <c r="A11" s="5" t="inlineStr">
        <is>
          <t>Cia Insumos Patagónicos SA</t>
        </is>
      </c>
      <c r="B11" s="5" t="inlineStr">
        <is>
          <t>21742</t>
        </is>
      </c>
      <c r="C11" s="5" t="inlineStr">
        <is>
          <t>0047-A-00048989</t>
        </is>
      </c>
      <c r="D11" s="6" t="n">
        <v>46275</v>
      </c>
      <c r="E11" s="6" t="n">
        <v>46310</v>
      </c>
      <c r="F11" s="14" t="n">
        <v>34</v>
      </c>
      <c r="G11" s="5" t="n">
        <v>0</v>
      </c>
      <c r="H11" s="7" t="n">
        <v>88197.05</v>
      </c>
      <c r="I11" s="7" t="n">
        <v>0</v>
      </c>
      <c r="J11" s="7" t="n">
        <v>88197.05</v>
      </c>
      <c r="K11" s="11" t="inlineStr">
        <is>
          <t>En fecha</t>
        </is>
      </c>
    </row>
    <row r="12">
      <c r="A12" s="5" t="inlineStr">
        <is>
          <t>Cia Insumos Patagónicos SA</t>
        </is>
      </c>
      <c r="B12" s="5" t="inlineStr">
        <is>
          <t>21742</t>
        </is>
      </c>
      <c r="C12" s="5" t="inlineStr">
        <is>
          <t>0047-A-00049661</t>
        </is>
      </c>
      <c r="D12" s="6" t="n">
        <v>46294</v>
      </c>
      <c r="E12" s="6" t="n">
        <v>46329</v>
      </c>
      <c r="F12" s="5" t="n">
        <v>15</v>
      </c>
      <c r="G12" s="5" t="n">
        <v>0</v>
      </c>
      <c r="H12" s="7" t="n">
        <v>358743.34</v>
      </c>
      <c r="I12" s="7" t="n">
        <v>0</v>
      </c>
      <c r="J12" s="7" t="n">
        <v>358743.34</v>
      </c>
      <c r="K12" s="11" t="inlineStr">
        <is>
          <t>En fecha</t>
        </is>
      </c>
    </row>
    <row r="13">
      <c r="A13" s="5" t="inlineStr">
        <is>
          <t>Denage SA.</t>
        </is>
      </c>
      <c r="B13" s="5" t="inlineStr">
        <is>
          <t>22638</t>
        </is>
      </c>
      <c r="C13" s="5" t="inlineStr">
        <is>
          <t>0047-A-00049903</t>
        </is>
      </c>
      <c r="D13" s="6" t="n">
        <v>46300</v>
      </c>
      <c r="E13" s="6" t="n">
        <v>46335</v>
      </c>
      <c r="F13" s="5" t="n">
        <v>9</v>
      </c>
      <c r="G13" s="5" t="n">
        <v>0</v>
      </c>
      <c r="H13" s="7" t="n">
        <v>135238.87</v>
      </c>
      <c r="I13" s="7" t="n">
        <v>0</v>
      </c>
      <c r="J13" s="7" t="n">
        <v>135238.87</v>
      </c>
      <c r="K13" s="11" t="inlineStr">
        <is>
          <t>En fecha</t>
        </is>
      </c>
    </row>
    <row r="14">
      <c r="A14" s="5" t="inlineStr">
        <is>
          <t>Foster Maria de la Paz</t>
        </is>
      </c>
      <c r="B14" s="5" t="inlineStr">
        <is>
          <t>20945</t>
        </is>
      </c>
      <c r="C14" s="5" t="inlineStr">
        <is>
          <t>0047-A-00048443</t>
        </is>
      </c>
      <c r="D14" s="6" t="n">
        <v>46265</v>
      </c>
      <c r="E14" s="6" t="n">
        <v>46300</v>
      </c>
      <c r="F14" s="14" t="n">
        <v>44</v>
      </c>
      <c r="G14" s="5" t="n">
        <v>9</v>
      </c>
      <c r="H14" s="7" t="n">
        <v>596689.4300000001</v>
      </c>
      <c r="I14" s="7" t="n">
        <v>0</v>
      </c>
      <c r="J14" s="7" t="n">
        <v>596689.4300000001</v>
      </c>
      <c r="K14" s="13" t="inlineStr">
        <is>
          <t>Vencida</t>
        </is>
      </c>
    </row>
    <row r="15">
      <c r="A15" s="5" t="inlineStr">
        <is>
          <t>Foster Maria de la Paz</t>
        </is>
      </c>
      <c r="B15" s="5" t="inlineStr">
        <is>
          <t>20945</t>
        </is>
      </c>
      <c r="C15" s="5" t="inlineStr">
        <is>
          <t>0047-A-00048717</t>
        </is>
      </c>
      <c r="D15" s="6" t="n">
        <v>46269</v>
      </c>
      <c r="E15" s="6" t="n">
        <v>46304</v>
      </c>
      <c r="F15" s="14" t="n">
        <v>40</v>
      </c>
      <c r="G15" s="5" t="n">
        <v>5</v>
      </c>
      <c r="H15" s="7" t="n">
        <v>238192.87</v>
      </c>
      <c r="I15" s="7" t="n">
        <v>0</v>
      </c>
      <c r="J15" s="7" t="n">
        <v>238192.87</v>
      </c>
      <c r="K15" s="13" t="inlineStr">
        <is>
          <t>Vencida</t>
        </is>
      </c>
    </row>
    <row r="16">
      <c r="A16" s="5" t="inlineStr">
        <is>
          <t>Inst. De Seg. Social Neuquen (SMA)</t>
        </is>
      </c>
      <c r="B16" s="5" t="inlineStr">
        <is>
          <t>21986</t>
        </is>
      </c>
      <c r="C16" s="5" t="inlineStr">
        <is>
          <t>0047-B-00004464</t>
        </is>
      </c>
      <c r="D16" s="6" t="n">
        <v>46304</v>
      </c>
      <c r="E16" s="6" t="n">
        <v>46339</v>
      </c>
      <c r="F16" s="5" t="n">
        <v>5</v>
      </c>
      <c r="G16" s="5" t="n">
        <v>0</v>
      </c>
      <c r="H16" s="7" t="n">
        <v>1120875.05</v>
      </c>
      <c r="I16" s="7" t="n">
        <v>0</v>
      </c>
      <c r="J16" s="7" t="n">
        <v>1120875.05</v>
      </c>
      <c r="K16" s="11" t="inlineStr">
        <is>
          <t>En fecha</t>
        </is>
      </c>
    </row>
    <row r="17">
      <c r="A17" s="5" t="inlineStr">
        <is>
          <t>Inst. De Seg. Social Neuquen (SMA)</t>
        </is>
      </c>
      <c r="B17" s="5" t="inlineStr">
        <is>
          <t>21986</t>
        </is>
      </c>
      <c r="C17" s="5" t="inlineStr">
        <is>
          <t>0047-B-00004477</t>
        </is>
      </c>
      <c r="D17" s="6" t="n">
        <v>46309</v>
      </c>
      <c r="E17" s="6" t="n">
        <v>46344</v>
      </c>
      <c r="F17" s="5" t="n">
        <v>0</v>
      </c>
      <c r="G17" s="5" t="n">
        <v>0</v>
      </c>
      <c r="H17" s="7" t="n">
        <v>68023.17999999999</v>
      </c>
      <c r="I17" s="7" t="n">
        <v>0</v>
      </c>
      <c r="J17" s="7" t="n">
        <v>68023.17999999999</v>
      </c>
      <c r="K17" s="11" t="inlineStr">
        <is>
          <t>En fecha</t>
        </is>
      </c>
    </row>
    <row r="18">
      <c r="A18" s="5" t="inlineStr">
        <is>
          <t>Instituto Munic. de Prev. Social</t>
        </is>
      </c>
      <c r="B18" s="5" t="inlineStr">
        <is>
          <t>21787</t>
        </is>
      </c>
      <c r="C18" s="5" t="inlineStr">
        <is>
          <t>0047-B-00004459</t>
        </is>
      </c>
      <c r="D18" s="6" t="n">
        <v>46303</v>
      </c>
      <c r="E18" s="6" t="n">
        <v>46338</v>
      </c>
      <c r="F18" s="5" t="n">
        <v>6</v>
      </c>
      <c r="G18" s="5" t="n">
        <v>0</v>
      </c>
      <c r="H18" s="7" t="n">
        <v>1257488.56</v>
      </c>
      <c r="I18" s="7" t="n">
        <v>71947.59</v>
      </c>
      <c r="J18" s="7" t="n">
        <v>1185540.97</v>
      </c>
      <c r="K18" s="11" t="inlineStr">
        <is>
          <t>En fecha</t>
        </is>
      </c>
    </row>
    <row r="19">
      <c r="A19" s="5" t="inlineStr">
        <is>
          <t>La Vieja Deli SRL.</t>
        </is>
      </c>
      <c r="B19" s="5" t="inlineStr">
        <is>
          <t>22587</t>
        </is>
      </c>
      <c r="C19" s="5" t="inlineStr">
        <is>
          <t>0047-A-00049662</t>
        </is>
      </c>
      <c r="D19" s="6" t="n">
        <v>46294</v>
      </c>
      <c r="E19" s="6" t="n">
        <v>46329</v>
      </c>
      <c r="F19" s="5" t="n">
        <v>15</v>
      </c>
      <c r="G19" s="5" t="n">
        <v>0</v>
      </c>
      <c r="H19" s="7" t="n">
        <v>207522.45</v>
      </c>
      <c r="I19" s="7" t="n">
        <v>0</v>
      </c>
      <c r="J19" s="7" t="n">
        <v>207522.45</v>
      </c>
      <c r="K19" s="11" t="inlineStr">
        <is>
          <t>En fecha</t>
        </is>
      </c>
    </row>
    <row r="20">
      <c r="A20" s="5" t="inlineStr">
        <is>
          <t>Lake Board SA</t>
        </is>
      </c>
      <c r="B20" s="5" t="inlineStr">
        <is>
          <t>20970</t>
        </is>
      </c>
      <c r="C20" s="5" t="inlineStr">
        <is>
          <t>0047-A-00048873</t>
        </is>
      </c>
      <c r="D20" s="6" t="n">
        <v>46273</v>
      </c>
      <c r="E20" s="6" t="n">
        <v>46308</v>
      </c>
      <c r="F20" s="14" t="n">
        <v>36</v>
      </c>
      <c r="G20" s="5" t="n">
        <v>1</v>
      </c>
      <c r="H20" s="7" t="n">
        <v>914560.89</v>
      </c>
      <c r="I20" s="7" t="n">
        <v>0</v>
      </c>
      <c r="J20" s="7" t="n">
        <v>914560.89</v>
      </c>
      <c r="K20" s="13" t="inlineStr">
        <is>
          <t>Vencida</t>
        </is>
      </c>
    </row>
    <row r="21">
      <c r="A21" s="5" t="inlineStr">
        <is>
          <t>Lake Board SA</t>
        </is>
      </c>
      <c r="B21" s="5" t="inlineStr">
        <is>
          <t>20970</t>
        </is>
      </c>
      <c r="C21" s="5" t="inlineStr">
        <is>
          <t>0031-A-00034422</t>
        </is>
      </c>
      <c r="D21" s="6" t="n">
        <v>46289</v>
      </c>
      <c r="E21" s="6" t="n">
        <v>46324</v>
      </c>
      <c r="F21" s="5" t="n">
        <v>20</v>
      </c>
      <c r="G21" s="5" t="n">
        <v>0</v>
      </c>
      <c r="H21" s="7" t="n">
        <v>221182.25</v>
      </c>
      <c r="I21" s="7" t="n">
        <v>0</v>
      </c>
      <c r="J21" s="7" t="n">
        <v>221182.25</v>
      </c>
      <c r="K21" s="11" t="inlineStr">
        <is>
          <t>En fecha</t>
        </is>
      </c>
    </row>
    <row r="22">
      <c r="A22" s="5" t="inlineStr">
        <is>
          <t>Lake Board SA</t>
        </is>
      </c>
      <c r="B22" s="5" t="inlineStr">
        <is>
          <t>20970</t>
        </is>
      </c>
      <c r="C22" s="5" t="inlineStr">
        <is>
          <t>0047-A-00049495</t>
        </is>
      </c>
      <c r="D22" s="6" t="n">
        <v>46289</v>
      </c>
      <c r="E22" s="6" t="n">
        <v>46324</v>
      </c>
      <c r="F22" s="5" t="n">
        <v>20</v>
      </c>
      <c r="G22" s="5" t="n">
        <v>0</v>
      </c>
      <c r="H22" s="7" t="n">
        <v>70315.08</v>
      </c>
      <c r="I22" s="7" t="n">
        <v>0</v>
      </c>
      <c r="J22" s="7" t="n">
        <v>70315.08</v>
      </c>
      <c r="K22" s="11" t="inlineStr">
        <is>
          <t>En fecha</t>
        </is>
      </c>
    </row>
    <row r="23">
      <c r="A23" s="5" t="inlineStr">
        <is>
          <t>Lignac Diego</t>
        </is>
      </c>
      <c r="B23" s="5" t="inlineStr">
        <is>
          <t>20657</t>
        </is>
      </c>
      <c r="C23" s="5" t="inlineStr">
        <is>
          <t>0047-A-00044043</t>
        </is>
      </c>
      <c r="D23" s="6" t="n">
        <v>46149</v>
      </c>
      <c r="E23" s="6" t="n">
        <v>46194</v>
      </c>
      <c r="F23" s="12" t="n">
        <v>160</v>
      </c>
      <c r="G23" s="5" t="n">
        <v>115</v>
      </c>
      <c r="H23" s="7" t="n">
        <v>401176.14</v>
      </c>
      <c r="I23" s="7" t="n">
        <v>0</v>
      </c>
      <c r="J23" s="7" t="n">
        <v>401176.14</v>
      </c>
      <c r="K23" s="13" t="inlineStr">
        <is>
          <t>Vencida</t>
        </is>
      </c>
    </row>
    <row r="24">
      <c r="A24" s="5" t="inlineStr">
        <is>
          <t>Loitegui Const Inmob Y Financ.</t>
        </is>
      </c>
      <c r="B24" s="5" t="inlineStr">
        <is>
          <t>20299</t>
        </is>
      </c>
      <c r="C24" s="5" t="inlineStr">
        <is>
          <t>0047-A-00049391</t>
        </is>
      </c>
      <c r="D24" s="6" t="n">
        <v>46286</v>
      </c>
      <c r="E24" s="6" t="n">
        <v>46321</v>
      </c>
      <c r="F24" s="5" t="n">
        <v>23</v>
      </c>
      <c r="G24" s="5" t="n">
        <v>0</v>
      </c>
      <c r="H24" s="7" t="n">
        <v>1215006.15</v>
      </c>
      <c r="I24" s="7" t="n">
        <v>0</v>
      </c>
      <c r="J24" s="7" t="n">
        <v>1215006.15</v>
      </c>
      <c r="K24" s="11" t="inlineStr">
        <is>
          <t>En fecha</t>
        </is>
      </c>
    </row>
    <row r="25">
      <c r="A25" s="5" t="inlineStr">
        <is>
          <t>Loitegui Const Inmob Y Financ.</t>
        </is>
      </c>
      <c r="B25" s="5" t="inlineStr">
        <is>
          <t>20299</t>
        </is>
      </c>
      <c r="C25" s="5" t="inlineStr">
        <is>
          <t>0031-A-00034393</t>
        </is>
      </c>
      <c r="D25" s="6" t="n">
        <v>46288</v>
      </c>
      <c r="E25" s="6" t="n">
        <v>46323</v>
      </c>
      <c r="F25" s="5" t="n">
        <v>21</v>
      </c>
      <c r="G25" s="5" t="n">
        <v>0</v>
      </c>
      <c r="H25" s="7" t="n">
        <v>127862.2</v>
      </c>
      <c r="I25" s="7" t="n">
        <v>0</v>
      </c>
      <c r="J25" s="7" t="n">
        <v>127862.2</v>
      </c>
      <c r="K25" s="11" t="inlineStr">
        <is>
          <t>En fecha</t>
        </is>
      </c>
    </row>
    <row r="26">
      <c r="A26" s="5" t="inlineStr">
        <is>
          <t>Loitegui Const Inmob Y Financ.</t>
        </is>
      </c>
      <c r="B26" s="5" t="inlineStr">
        <is>
          <t>20299</t>
        </is>
      </c>
      <c r="C26" s="5" t="inlineStr">
        <is>
          <t>0047-A-00049765</t>
        </is>
      </c>
      <c r="D26" s="6" t="n">
        <v>46296</v>
      </c>
      <c r="E26" s="6" t="n">
        <v>46331</v>
      </c>
      <c r="F26" s="5" t="n">
        <v>13</v>
      </c>
      <c r="G26" s="5" t="n">
        <v>0</v>
      </c>
      <c r="H26" s="7" t="n">
        <v>394351.27</v>
      </c>
      <c r="I26" s="7" t="n">
        <v>0</v>
      </c>
      <c r="J26" s="7" t="n">
        <v>394351.27</v>
      </c>
      <c r="K26" s="11" t="inlineStr">
        <is>
          <t>En fecha</t>
        </is>
      </c>
    </row>
    <row r="27">
      <c r="A27" s="5" t="inlineStr">
        <is>
          <t>Operad. De Estaciones Serv SA</t>
        </is>
      </c>
      <c r="B27" s="5" t="inlineStr">
        <is>
          <t>22526</t>
        </is>
      </c>
      <c r="C27" s="5" t="inlineStr">
        <is>
          <t>0047-A-00049373</t>
        </is>
      </c>
      <c r="D27" s="6" t="n">
        <v>46284</v>
      </c>
      <c r="E27" s="6" t="n">
        <v>46319</v>
      </c>
      <c r="F27" s="5" t="n">
        <v>25</v>
      </c>
      <c r="G27" s="5" t="n">
        <v>0</v>
      </c>
      <c r="H27" s="7" t="n">
        <v>2295019.6</v>
      </c>
      <c r="I27" s="7" t="n">
        <v>0</v>
      </c>
      <c r="J27" s="7" t="n">
        <v>2295019.6</v>
      </c>
      <c r="K27" s="11" t="inlineStr">
        <is>
          <t>En fecha</t>
        </is>
      </c>
    </row>
    <row r="28">
      <c r="A28" s="5" t="inlineStr">
        <is>
          <t>Operad. De Estaciones Serv SA</t>
        </is>
      </c>
      <c r="B28" s="5" t="inlineStr">
        <is>
          <t>22526</t>
        </is>
      </c>
      <c r="C28" s="5" t="inlineStr">
        <is>
          <t>0047-A-00049466</t>
        </is>
      </c>
      <c r="D28" s="6" t="n">
        <v>46286</v>
      </c>
      <c r="E28" s="6" t="n">
        <v>46321</v>
      </c>
      <c r="F28" s="5" t="n">
        <v>23</v>
      </c>
      <c r="G28" s="5" t="n">
        <v>0</v>
      </c>
      <c r="H28" s="7" t="n">
        <v>223511.59</v>
      </c>
      <c r="I28" s="7" t="n">
        <v>0</v>
      </c>
      <c r="J28" s="7" t="n">
        <v>223511.59</v>
      </c>
      <c r="K28" s="11" t="inlineStr">
        <is>
          <t>En fecha</t>
        </is>
      </c>
    </row>
    <row r="29">
      <c r="A29" s="5" t="inlineStr">
        <is>
          <t>Operad. De Estaciones Serv SA</t>
        </is>
      </c>
      <c r="B29" s="5" t="inlineStr">
        <is>
          <t>22526</t>
        </is>
      </c>
      <c r="C29" s="5" t="inlineStr">
        <is>
          <t>0047-A-00050250</t>
        </is>
      </c>
      <c r="D29" s="6" t="n">
        <v>46309</v>
      </c>
      <c r="E29" s="6" t="n">
        <v>46344</v>
      </c>
      <c r="F29" s="5" t="n">
        <v>0</v>
      </c>
      <c r="G29" s="5" t="n">
        <v>0</v>
      </c>
      <c r="H29" s="7" t="n">
        <v>2520529.8</v>
      </c>
      <c r="I29" s="7" t="n">
        <v>0</v>
      </c>
      <c r="J29" s="7" t="n">
        <v>2520529.8</v>
      </c>
      <c r="K29" s="11" t="inlineStr">
        <is>
          <t>En fecha</t>
        </is>
      </c>
    </row>
    <row r="30">
      <c r="A30" s="5" t="inlineStr">
        <is>
          <t>Rincon De Los Andes SA</t>
        </is>
      </c>
      <c r="B30" s="5" t="inlineStr">
        <is>
          <t>20687</t>
        </is>
      </c>
      <c r="C30" s="5" t="inlineStr">
        <is>
          <t>0047-A-00049735</t>
        </is>
      </c>
      <c r="D30" s="6" t="n">
        <v>46295</v>
      </c>
      <c r="E30" s="6" t="n">
        <v>46330</v>
      </c>
      <c r="F30" s="5" t="n">
        <v>14</v>
      </c>
      <c r="G30" s="5" t="n">
        <v>0</v>
      </c>
      <c r="H30" s="7" t="n">
        <v>228579.58</v>
      </c>
      <c r="I30" s="7" t="n">
        <v>0</v>
      </c>
      <c r="J30" s="7" t="n">
        <v>228579.58</v>
      </c>
      <c r="K30" s="11" t="inlineStr">
        <is>
          <t>En fecha</t>
        </is>
      </c>
    </row>
    <row r="31">
      <c r="A31" s="5" t="inlineStr">
        <is>
          <t>Rincon De Los Andes SA</t>
        </is>
      </c>
      <c r="B31" s="5" t="inlineStr">
        <is>
          <t>20687</t>
        </is>
      </c>
      <c r="C31" s="5" t="inlineStr">
        <is>
          <t>0047-A-00050242</t>
        </is>
      </c>
      <c r="D31" s="6" t="n">
        <v>46309</v>
      </c>
      <c r="E31" s="6" t="n">
        <v>46344</v>
      </c>
      <c r="F31" s="5" t="n">
        <v>0</v>
      </c>
      <c r="G31" s="5" t="n">
        <v>0</v>
      </c>
      <c r="H31" s="7" t="n">
        <v>262436.94</v>
      </c>
      <c r="I31" s="7" t="n">
        <v>0</v>
      </c>
      <c r="J31" s="7" t="n">
        <v>262436.94</v>
      </c>
      <c r="K31" s="11" t="inlineStr">
        <is>
          <t>En fecha</t>
        </is>
      </c>
    </row>
    <row r="32">
      <c r="A32" s="5" t="inlineStr">
        <is>
          <t>Rivera Juan Leonardo</t>
        </is>
      </c>
      <c r="B32" s="5" t="inlineStr">
        <is>
          <t>21064</t>
        </is>
      </c>
      <c r="C32" s="5" t="inlineStr">
        <is>
          <t>0047-A-00047606</t>
        </is>
      </c>
      <c r="D32" s="6" t="n">
        <v>46242</v>
      </c>
      <c r="E32" s="6" t="n">
        <v>46277</v>
      </c>
      <c r="F32" s="12" t="n">
        <v>67</v>
      </c>
      <c r="G32" s="5" t="n">
        <v>32</v>
      </c>
      <c r="H32" s="7" t="n">
        <v>229039.93</v>
      </c>
      <c r="I32" s="7" t="n">
        <v>0</v>
      </c>
      <c r="J32" s="7" t="n">
        <v>229039.93</v>
      </c>
      <c r="K32" s="13" t="inlineStr">
        <is>
          <t>Vencida</t>
        </is>
      </c>
    </row>
    <row r="33">
      <c r="A33" s="5" t="inlineStr">
        <is>
          <t>Time Sharing R</t>
        </is>
      </c>
      <c r="B33" s="5" t="inlineStr">
        <is>
          <t>20344</t>
        </is>
      </c>
      <c r="C33" s="5" t="inlineStr">
        <is>
          <t>0047-A-00050115</t>
        </is>
      </c>
      <c r="D33" s="6" t="n">
        <v>46304</v>
      </c>
      <c r="E33" s="6" t="n">
        <v>46339</v>
      </c>
      <c r="F33" s="5" t="n">
        <v>5</v>
      </c>
      <c r="G33" s="5" t="n">
        <v>0</v>
      </c>
      <c r="H33" s="7" t="n">
        <v>997332.72</v>
      </c>
      <c r="I33" s="7" t="n">
        <v>0</v>
      </c>
      <c r="J33" s="7" t="n">
        <v>997332.72</v>
      </c>
      <c r="K33" s="11" t="inlineStr">
        <is>
          <t>En fecha</t>
        </is>
      </c>
    </row>
    <row r="34">
      <c r="A34" s="8" t="inlineStr">
        <is>
          <t>Totales</t>
        </is>
      </c>
      <c r="B34" s="8" t="n"/>
      <c r="C34" s="8" t="n"/>
      <c r="D34" s="8" t="n"/>
      <c r="E34" s="8" t="n"/>
      <c r="F34" s="8" t="n"/>
      <c r="G34" s="8" t="n"/>
      <c r="H34" s="9">
        <f>SUBTOTAL(9,H5:H33)</f>
        <v/>
      </c>
      <c r="I34" s="9">
        <f>SUBTOTAL(9,I5:I33)</f>
        <v/>
      </c>
      <c r="J34" s="9">
        <f>SUBTOTAL(9,J5:J33)</f>
        <v/>
      </c>
      <c r="K34" s="8" t="n"/>
    </row>
  </sheetData>
  <autoFilter ref="A4:K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2026-10-14T19:18:17Z</dcterms:created>
  <dcterms:modified xmlns:dcterms="http://purl.org/dc/terms/" xmlns:xsi="http://www.w3.org/2001/XMLSchema-instance" xsi:type="dcterms:W3CDTF">2026-10-14T19:18:17Z</dcterms:modified>
</cp:coreProperties>
</file>